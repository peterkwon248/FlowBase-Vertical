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베이" sheetId="1" r:id="rId4"/>
    <sheet state="visible" name="11번가" sheetId="2" r:id="rId5"/>
    <sheet state="visible" name="매출정리 raw" sheetId="3" r:id="rId6"/>
    <sheet state="visible" name="파워클릭 raw" sheetId="4" r:id="rId7"/>
    <sheet state="visible" name="Ai매출업 raw" sheetId="5" r:id="rId8"/>
    <sheet state="visible" name="11_매출정리" sheetId="6" r:id="rId9"/>
    <sheet state="visible" name="11_광고비정리" sheetId="7" r:id="rId10"/>
  </sheets>
  <definedNames/>
  <calcPr/>
</workbook>
</file>

<file path=xl/sharedStrings.xml><?xml version="1.0" encoding="utf-8"?>
<sst xmlns="http://schemas.openxmlformats.org/spreadsheetml/2006/main" count="5254" uniqueCount="1950">
  <si>
    <t>머레이 이베이 월별 매출정리</t>
  </si>
  <si>
    <t>날짜</t>
  </si>
  <si>
    <t>총광고비용</t>
  </si>
  <si>
    <t>전환수</t>
  </si>
  <si>
    <t>광고센터
전환매출</t>
  </si>
  <si>
    <t>광고센터
ROAS</t>
  </si>
  <si>
    <t>실매출
판매금액</t>
  </si>
  <si>
    <t>실매출
취소금액</t>
  </si>
  <si>
    <t>실매출
합계</t>
  </si>
  <si>
    <t>실매출
ROAS</t>
  </si>
  <si>
    <t>합계</t>
  </si>
  <si>
    <t>머레이 11번가 월별 매출정리</t>
  </si>
  <si>
    <t>장바구니
전환매출</t>
  </si>
  <si>
    <t>장바구니
ROAS</t>
  </si>
  <si>
    <t>진행상태</t>
  </si>
  <si>
    <t>판매아이디</t>
  </si>
  <si>
    <t>구매자아이디</t>
  </si>
  <si>
    <t>주문번호</t>
  </si>
  <si>
    <t>상품번호</t>
  </si>
  <si>
    <t>상품명</t>
  </si>
  <si>
    <t>구매자명</t>
  </si>
  <si>
    <t>수령인명</t>
  </si>
  <si>
    <t>구매금액</t>
  </si>
  <si>
    <t>수량</t>
  </si>
  <si>
    <t>결제일</t>
  </si>
  <si>
    <t>배송완료일자</t>
  </si>
  <si>
    <t>송금완료일자</t>
  </si>
  <si>
    <t>SSG 상품번호</t>
  </si>
  <si>
    <t>SSG 원주문번호</t>
  </si>
  <si>
    <t>배송중</t>
  </si>
  <si>
    <t>지마켓(murraymall)</t>
  </si>
  <si>
    <t>user887130</t>
  </si>
  <si>
    <t>머레이 마사지건 M-GUN 4종 최대 출력 3200rpm 실버</t>
  </si>
  <si>
    <t>오해든</t>
  </si>
  <si>
    <t>user805705</t>
  </si>
  <si>
    <t>한일의료기 정품 그래핀 5세대 탄소매트 전기매트 온열매트 (더블 135x180cm) 정품 공급처</t>
  </si>
  <si>
    <t>name-1341174285</t>
  </si>
  <si>
    <t>user520802</t>
  </si>
  <si>
    <t>1+1 컬러2in1 도킹형 일체형 휴대폰 보조배터리 (C타입/8핀) 산뜻한 디자인 든든한 1+1 가성비</t>
  </si>
  <si>
    <t>name-1611071225</t>
  </si>
  <si>
    <t>옥션(murraymall)</t>
  </si>
  <si>
    <t>user402372</t>
  </si>
  <si>
    <t>E761279609</t>
  </si>
  <si>
    <t>한일의료기 정품 그래핀 5세대 탄소매트 전기매트 온열매트 (싱글 100x180cm) 정품 공급처</t>
  </si>
  <si>
    <t>name-2777842988</t>
  </si>
  <si>
    <t>user726389</t>
  </si>
  <si>
    <t>name-328962377</t>
  </si>
  <si>
    <t>취소완료</t>
  </si>
  <si>
    <t>user868789</t>
  </si>
  <si>
    <t>조바다</t>
  </si>
  <si>
    <t>환불완료</t>
  </si>
  <si>
    <t>user753265</t>
  </si>
  <si>
    <t>name-3858108940</t>
  </si>
  <si>
    <t>name-2407036560</t>
  </si>
  <si>
    <t>user283650</t>
  </si>
  <si>
    <t>머레이 디지털 펜 보이스레코더/학습강의 PV-3000 16GB 최대 180시간녹음 선명한 음질 볼펜녹음기</t>
  </si>
  <si>
    <t>name-3124920350</t>
  </si>
  <si>
    <t>user142805</t>
  </si>
  <si>
    <t>초강력 간편 휴대용/차량용 코털제거기 코털정리기 (블랙)</t>
  </si>
  <si>
    <t>이라온</t>
  </si>
  <si>
    <t>user699367</t>
  </si>
  <si>
    <t>유무선 충전가능한 레이펜슬3세대 애플펜슬 2세대 호환 짭플펜슬 최고의 가성비</t>
  </si>
  <si>
    <t>윤한별</t>
  </si>
  <si>
    <t>user474832</t>
  </si>
  <si>
    <t>세척편한 인테리어 물멍가습기 미니 초음파 가습기 HUMI-10 최대 10시간 연속사용</t>
  </si>
  <si>
    <t>name-2266361694</t>
  </si>
  <si>
    <t>user360070</t>
  </si>
  <si>
    <t>한일의료기 탄소 매트 극세사 더블 HIM-3000D 라이트그레이 정품 공급처</t>
  </si>
  <si>
    <t>라온무역</t>
  </si>
  <si>
    <t>나래유통</t>
  </si>
  <si>
    <t>user695697</t>
  </si>
  <si>
    <t>임온새</t>
  </si>
  <si>
    <t>user991013</t>
  </si>
  <si>
    <t>name-3362315446</t>
  </si>
  <si>
    <t>서푸른</t>
  </si>
  <si>
    <t>user603439</t>
  </si>
  <si>
    <t>name-3722060051</t>
  </si>
  <si>
    <t>name-1331521670</t>
  </si>
  <si>
    <t>user567850</t>
  </si>
  <si>
    <t>name-3007858657</t>
  </si>
  <si>
    <t>user578147</t>
  </si>
  <si>
    <t>3in1 무선충전기 갤럭시워치 애플워치 갤럭시버즈 에어팟 무선충전 가능 데스크테리어의 완성</t>
  </si>
  <si>
    <t>name-3463409686</t>
  </si>
  <si>
    <t>user441810</t>
  </si>
  <si>
    <t>초강력 간편 휴대용/차량용 코털제거기 코털정리기 (오렌지)</t>
  </si>
  <si>
    <t>name-3237383314</t>
  </si>
  <si>
    <t>user352682</t>
  </si>
  <si>
    <t>name-1781817282</t>
  </si>
  <si>
    <t>user267582</t>
  </si>
  <si>
    <t>name-1363229111</t>
  </si>
  <si>
    <t>user543819</t>
  </si>
  <si>
    <t>김아름</t>
  </si>
  <si>
    <t>user855187</t>
  </si>
  <si>
    <t>name-3612244018</t>
  </si>
  <si>
    <t>user842227</t>
  </si>
  <si>
    <t>D907274905</t>
  </si>
  <si>
    <t>머레이 폴더블 스탠딩 3in1 무선충전기 Z10 갤럭시워치 애플워치 갤럭시S25 충전기 단언컨데 가장 실용적</t>
  </si>
  <si>
    <t>name-4105668465</t>
  </si>
  <si>
    <t>user656241</t>
  </si>
  <si>
    <t>name-221359303</t>
  </si>
  <si>
    <t>배송완료</t>
  </si>
  <si>
    <t>user916779</t>
  </si>
  <si>
    <t>name-1412690750</t>
  </si>
  <si>
    <t>구매결정완료</t>
  </si>
  <si>
    <t>user580880</t>
  </si>
  <si>
    <t>name-1993244661</t>
  </si>
  <si>
    <t>name-3657272740</t>
  </si>
  <si>
    <t>user385511</t>
  </si>
  <si>
    <t>name-1635677639</t>
  </si>
  <si>
    <t>user816384</t>
  </si>
  <si>
    <t>임해든</t>
  </si>
  <si>
    <t>user144686</t>
  </si>
  <si>
    <t>정교하고 튼튼한 메탈펜촉 4개입 세트 애플펜슬 1 2세대 호환 교체가능</t>
  </si>
  <si>
    <t>이초록</t>
  </si>
  <si>
    <t>user139348</t>
  </si>
  <si>
    <t>name-1958500366</t>
  </si>
  <si>
    <t>name-939389352</t>
  </si>
  <si>
    <t>user376345</t>
  </si>
  <si>
    <t>name-672817314</t>
  </si>
  <si>
    <t>user914470</t>
  </si>
  <si>
    <t>name-2276889280</t>
  </si>
  <si>
    <t>user349432</t>
  </si>
  <si>
    <t>name-1554764709</t>
  </si>
  <si>
    <t>user415789</t>
  </si>
  <si>
    <t>name-3359976734</t>
  </si>
  <si>
    <t>name-3673421376</t>
  </si>
  <si>
    <t>user281150</t>
  </si>
  <si>
    <t>name-3335149529</t>
  </si>
  <si>
    <t>윤지음</t>
  </si>
  <si>
    <t>user551355</t>
  </si>
  <si>
    <t>C942431166</t>
  </si>
  <si>
    <t>레인보우LED 블루투스마이크 노래방마이크 블루투스스피커 블랙 유치원/학교 대량구매 인기상품</t>
  </si>
  <si>
    <t>name-676073073</t>
  </si>
  <si>
    <t>name-3069448111</t>
  </si>
  <si>
    <t>user674819</t>
  </si>
  <si>
    <t>전자파 없는 한일의료기 전기매트 극세사 슈퍼싱글 연그레이 HI-2025S 정품 공급처</t>
  </si>
  <si>
    <t>장하늘</t>
  </si>
  <si>
    <t>user42286</t>
  </si>
  <si>
    <t>머레이 LED 촛불 리얼 캔들 무드등 5개 세트 크리스마스 분위기 내기</t>
  </si>
  <si>
    <t>정마루</t>
  </si>
  <si>
    <t>user545177</t>
  </si>
  <si>
    <t>조라온</t>
  </si>
  <si>
    <t>user282378</t>
  </si>
  <si>
    <t>박해든</t>
  </si>
  <si>
    <t>user21033</t>
  </si>
  <si>
    <t>name-3308690747</t>
  </si>
  <si>
    <t>name-1366023297</t>
  </si>
  <si>
    <t>user993978</t>
  </si>
  <si>
    <t>name-1717990686</t>
  </si>
  <si>
    <t>name-1923023295</t>
  </si>
  <si>
    <t>user775719</t>
  </si>
  <si>
    <t>name-3211458495</t>
  </si>
  <si>
    <t>name-1584040434</t>
  </si>
  <si>
    <t>user284280</t>
  </si>
  <si>
    <t>name-788159839</t>
  </si>
  <si>
    <t>name-1478274463</t>
  </si>
  <si>
    <t>user744253</t>
  </si>
  <si>
    <t>name-2458988245</t>
  </si>
  <si>
    <t>user963065</t>
  </si>
  <si>
    <t>한마루</t>
  </si>
  <si>
    <t>user544013</t>
  </si>
  <si>
    <t>최하늘</t>
  </si>
  <si>
    <t>user645680</t>
  </si>
  <si>
    <t>강라온</t>
  </si>
  <si>
    <t>user658578</t>
  </si>
  <si>
    <t>신푸른</t>
  </si>
  <si>
    <t>user403286</t>
  </si>
  <si>
    <t>name-2505758846</t>
  </si>
  <si>
    <t>user5460</t>
  </si>
  <si>
    <t>최푸른</t>
  </si>
  <si>
    <t>송금완료</t>
  </si>
  <si>
    <t>user397507</t>
  </si>
  <si>
    <t>C499272210</t>
  </si>
  <si>
    <t>원쁠원 4IN1 미니스탠드 스마트기기 무선충전기 F5 (+25W 고속충전어댑터) 데스크테리어는 이걸로 끝</t>
  </si>
  <si>
    <t>name-1337466071</t>
  </si>
  <si>
    <t>user514650</t>
  </si>
  <si>
    <t>name-1218014571</t>
  </si>
  <si>
    <t>name-2235295074</t>
  </si>
  <si>
    <t>user846252</t>
  </si>
  <si>
    <t>name-3311230318</t>
  </si>
  <si>
    <t>정나래</t>
  </si>
  <si>
    <t>user486248</t>
  </si>
  <si>
    <t>갈고리형 목 어깨 전신 안마 마사지건 부모님 건강 선물 (고급형) 2024년 신형</t>
  </si>
  <si>
    <t>name-2034030979</t>
  </si>
  <si>
    <t>name-3688049293</t>
  </si>
  <si>
    <t>user735378</t>
  </si>
  <si>
    <t>정새롬</t>
  </si>
  <si>
    <t>user726730</t>
  </si>
  <si>
    <t>D667321854</t>
  </si>
  <si>
    <t>최찬빛</t>
  </si>
  <si>
    <t>user679664</t>
  </si>
  <si>
    <t>name-3689072139</t>
  </si>
  <si>
    <t>user81755</t>
  </si>
  <si>
    <t>name-4208582564</t>
  </si>
  <si>
    <t>user176172</t>
  </si>
  <si>
    <t>윤바다</t>
  </si>
  <si>
    <t>user335014</t>
  </si>
  <si>
    <t>코털제거기 코털정리기 잔털제거 교체 헤드 + 거치대 세트 고급형 깔끔하게 정리하자</t>
  </si>
  <si>
    <t>권나래</t>
  </si>
  <si>
    <t>user770436</t>
  </si>
  <si>
    <t>조이든</t>
  </si>
  <si>
    <t>user687411</t>
  </si>
  <si>
    <t>name-3158384946</t>
  </si>
  <si>
    <t>조마루</t>
  </si>
  <si>
    <t>user867558</t>
  </si>
  <si>
    <t>name-2861539702</t>
  </si>
  <si>
    <t>정누리</t>
  </si>
  <si>
    <t>user133211</t>
  </si>
  <si>
    <t>권하늘</t>
  </si>
  <si>
    <t>user771637</t>
  </si>
  <si>
    <t>임누리</t>
  </si>
  <si>
    <t>user3059</t>
  </si>
  <si>
    <t>한일의료기 탄소 매트 극세사 2겹 더블 매트 (좌우 분리 개별 난방) HIM-3000D2 라이트그레이 정품 공급처</t>
  </si>
  <si>
    <t>name-1780540380</t>
  </si>
  <si>
    <t>name-2328127318</t>
  </si>
  <si>
    <t>user150199</t>
  </si>
  <si>
    <t>name-2212968534</t>
  </si>
  <si>
    <t>서가온</t>
  </si>
  <si>
    <t>user475715</t>
  </si>
  <si>
    <t>효자손 갈고리형 목어깨마사지기 전동마사지건 전신안마기 2025년 신형 부모님 건강 선물</t>
  </si>
  <si>
    <t>name-4119273739</t>
  </si>
  <si>
    <t>user35603</t>
  </si>
  <si>
    <t>name-3778005657</t>
  </si>
  <si>
    <t>user71050</t>
  </si>
  <si>
    <t>name-1521563514</t>
  </si>
  <si>
    <t>user266788</t>
  </si>
  <si>
    <t>E761281917</t>
  </si>
  <si>
    <t>이바다</t>
  </si>
  <si>
    <t>user212291</t>
  </si>
  <si>
    <t>한찬빛</t>
  </si>
  <si>
    <t>서해든</t>
  </si>
  <si>
    <t>user369375</t>
  </si>
  <si>
    <t>name-3866520582</t>
  </si>
  <si>
    <t>user368167</t>
  </si>
  <si>
    <t>name-1855362861</t>
  </si>
  <si>
    <t>user941957</t>
  </si>
  <si>
    <t>전자파 없는 한일의료기 전기매트 극세사 퀸 사이즈 연그레이 HI-2025D 정품 공급처</t>
  </si>
  <si>
    <t>서슬기</t>
  </si>
  <si>
    <t>user382523</t>
  </si>
  <si>
    <t>오바다</t>
  </si>
  <si>
    <t>user434607</t>
  </si>
  <si>
    <t>김해든</t>
  </si>
  <si>
    <t>user506447</t>
  </si>
  <si>
    <t>신찬빛</t>
  </si>
  <si>
    <t>user655660</t>
  </si>
  <si>
    <t>오슬기</t>
  </si>
  <si>
    <t>user991760</t>
  </si>
  <si>
    <t>name-705121214</t>
  </si>
  <si>
    <t>name-385274483</t>
  </si>
  <si>
    <t>user559240</t>
  </si>
  <si>
    <t>3in1 파스텔 도킹형 보조배터리 올인원 갤럭시워치 애플워치충전기 감각적인 디자인에 워치까지 한번에~</t>
  </si>
  <si>
    <t>name-961030074</t>
  </si>
  <si>
    <t>최다솜</t>
  </si>
  <si>
    <t>user554989</t>
  </si>
  <si>
    <t>최라온</t>
  </si>
  <si>
    <t>user447377</t>
  </si>
  <si>
    <t>name-3637207470</t>
  </si>
  <si>
    <t>user873295</t>
  </si>
  <si>
    <t>name-3507080772</t>
  </si>
  <si>
    <t>user317313</t>
  </si>
  <si>
    <t>name-1942140730</t>
  </si>
  <si>
    <t>user935112</t>
  </si>
  <si>
    <t>name-3115415491</t>
  </si>
  <si>
    <t>cann****</t>
  </si>
  <si>
    <t>한일의료기 정품 테라톤 5세대 극세사 탄소매트 전기매트 온열매트 (더블 140x200cm) 정품 공급처</t>
  </si>
  <si>
    <t>name-287488693</t>
  </si>
  <si>
    <t>user5627</t>
  </si>
  <si>
    <t>가볍고 음질좋은 블루투스이어폰 무선이어폰 BT-50 안드로이드/IOS 모두 호환</t>
  </si>
  <si>
    <t>name-222315109</t>
  </si>
  <si>
    <t>user116070</t>
  </si>
  <si>
    <t>윤나래</t>
  </si>
  <si>
    <t>user630308</t>
  </si>
  <si>
    <t>name-4060461621</t>
  </si>
  <si>
    <t>윤초록</t>
  </si>
  <si>
    <t>user829216</t>
  </si>
  <si>
    <t>name-3002649463</t>
  </si>
  <si>
    <t>name-2937245387</t>
  </si>
  <si>
    <t>user868392</t>
  </si>
  <si>
    <t>name-4164015742</t>
  </si>
  <si>
    <t>name-685638781</t>
  </si>
  <si>
    <t>user401992</t>
  </si>
  <si>
    <t>name-2161440253</t>
  </si>
  <si>
    <t>user651287</t>
  </si>
  <si>
    <t>name-4254994925</t>
  </si>
  <si>
    <t>name-3556936414</t>
  </si>
  <si>
    <t>user660939</t>
  </si>
  <si>
    <t>name-3948845649</t>
  </si>
  <si>
    <t>user652948</t>
  </si>
  <si>
    <t>name-3445494313</t>
  </si>
  <si>
    <t>name-1416219177</t>
  </si>
  <si>
    <t>반품완료</t>
  </si>
  <si>
    <t>user226175</t>
  </si>
  <si>
    <t>name-1903220736</t>
  </si>
  <si>
    <t>user434327</t>
  </si>
  <si>
    <t>name-1615096556</t>
  </si>
  <si>
    <t>조슬기</t>
  </si>
  <si>
    <t>user504565</t>
  </si>
  <si>
    <t>박아름</t>
  </si>
  <si>
    <t>user352227</t>
  </si>
  <si>
    <t>한슬기</t>
  </si>
  <si>
    <t>user156463</t>
  </si>
  <si>
    <t>정가온</t>
  </si>
  <si>
    <t>uni****</t>
  </si>
  <si>
    <t>name-733608121</t>
  </si>
  <si>
    <t>구매거부취소</t>
  </si>
  <si>
    <t>user311406</t>
  </si>
  <si>
    <t>윤해든</t>
  </si>
  <si>
    <t>user411774</t>
  </si>
  <si>
    <t>한가온</t>
  </si>
  <si>
    <t>user215606</t>
  </si>
  <si>
    <t>name-2648668776</t>
  </si>
  <si>
    <t>user356725</t>
  </si>
  <si>
    <t>name-1515083077</t>
  </si>
  <si>
    <t>user904922</t>
  </si>
  <si>
    <t>머레이 접이식 발다리 난로/무릎난로/책상 전기히터 직장인 필수템 따듯한 겨울나기</t>
  </si>
  <si>
    <t>강나래</t>
  </si>
  <si>
    <t>user28311</t>
  </si>
  <si>
    <t>임가온</t>
  </si>
  <si>
    <t>user687682</t>
  </si>
  <si>
    <t>name-3540830153</t>
  </si>
  <si>
    <t>조찬빛</t>
  </si>
  <si>
    <t>user495931</t>
  </si>
  <si>
    <t>name-1412933206</t>
  </si>
  <si>
    <t>권슬기</t>
  </si>
  <si>
    <t>user959871</t>
  </si>
  <si>
    <t>고출력 픽셀LED 블루투스 스피커 듀얼 마이크 + LED미러볼 화이트</t>
  </si>
  <si>
    <t>name-3050153111</t>
  </si>
  <si>
    <t>user789516</t>
  </si>
  <si>
    <t>name-87920087</t>
  </si>
  <si>
    <t>name-3499955099</t>
  </si>
  <si>
    <t>user496225</t>
  </si>
  <si>
    <t>name-1862268803</t>
  </si>
  <si>
    <t>name-1763828343</t>
  </si>
  <si>
    <t>user534798</t>
  </si>
  <si>
    <t>name-1725672602</t>
  </si>
  <si>
    <t>user627478</t>
  </si>
  <si>
    <t>name-2658957781</t>
  </si>
  <si>
    <t>강해든</t>
  </si>
  <si>
    <t>user602362</t>
  </si>
  <si>
    <t>윤슬기</t>
  </si>
  <si>
    <t>user932574</t>
  </si>
  <si>
    <t>name-2190333463</t>
  </si>
  <si>
    <t>nha****</t>
  </si>
  <si>
    <t>name-1946025993</t>
  </si>
  <si>
    <t>user903997</t>
  </si>
  <si>
    <t>name-2519631970</t>
  </si>
  <si>
    <t>user350367</t>
  </si>
  <si>
    <t>name-2361594205</t>
  </si>
  <si>
    <t>user435864</t>
  </si>
  <si>
    <t>최마루</t>
  </si>
  <si>
    <t>user457054</t>
  </si>
  <si>
    <t>name-1836689717</t>
  </si>
  <si>
    <t>name-1934038442</t>
  </si>
  <si>
    <t>name-2072432953</t>
  </si>
  <si>
    <t>user193300</t>
  </si>
  <si>
    <t>권푸른</t>
  </si>
  <si>
    <t>user533627</t>
  </si>
  <si>
    <t>name-3350763746</t>
  </si>
  <si>
    <t>권초록</t>
  </si>
  <si>
    <t>user840501</t>
  </si>
  <si>
    <t>name-1994075154</t>
  </si>
  <si>
    <t>user823973</t>
  </si>
  <si>
    <t>name-3301875571</t>
  </si>
  <si>
    <t>user452581</t>
  </si>
  <si>
    <t>name-451853204</t>
  </si>
  <si>
    <t>user175961</t>
  </si>
  <si>
    <t>다솜커머스</t>
  </si>
  <si>
    <t>name-1822201145</t>
  </si>
  <si>
    <t>user538049</t>
  </si>
  <si>
    <t>신한별</t>
  </si>
  <si>
    <t>user500575</t>
  </si>
  <si>
    <t>장미르</t>
  </si>
  <si>
    <t>user13143</t>
  </si>
  <si>
    <t>name-2281659028</t>
  </si>
  <si>
    <t>wndu****</t>
  </si>
  <si>
    <t>name-98642386</t>
  </si>
  <si>
    <t>user950428</t>
  </si>
  <si>
    <t>오푸른</t>
  </si>
  <si>
    <t>user485803</t>
  </si>
  <si>
    <t>name-2793862492</t>
  </si>
  <si>
    <t>user113868</t>
  </si>
  <si>
    <t>최미르</t>
  </si>
  <si>
    <t>user314119</t>
  </si>
  <si>
    <t>name-1960829633</t>
  </si>
  <si>
    <t>user950018</t>
  </si>
  <si>
    <t>name-4287215016</t>
  </si>
  <si>
    <t>user329351</t>
  </si>
  <si>
    <t>name-327749086</t>
  </si>
  <si>
    <t>user428779</t>
  </si>
  <si>
    <t>name-835263941</t>
  </si>
  <si>
    <t>user173620</t>
  </si>
  <si>
    <t>name-125058203</t>
  </si>
  <si>
    <t>name-2438262892</t>
  </si>
  <si>
    <t>user26093</t>
  </si>
  <si>
    <t>name-2764493001</t>
  </si>
  <si>
    <t>user186209</t>
  </si>
  <si>
    <t>김가온</t>
  </si>
  <si>
    <t>name-3853569074</t>
  </si>
  <si>
    <t>user526570</t>
  </si>
  <si>
    <t>E696670722</t>
  </si>
  <si>
    <t>정푸른</t>
  </si>
  <si>
    <t>user348767</t>
  </si>
  <si>
    <t>name-3174702847</t>
  </si>
  <si>
    <t>user943590</t>
  </si>
  <si>
    <t>서다솜</t>
  </si>
  <si>
    <t>shj****</t>
  </si>
  <si>
    <t>name-2959257689</t>
  </si>
  <si>
    <t>name-1960855871</t>
  </si>
  <si>
    <t>user396508</t>
  </si>
  <si>
    <t>name-4179538400</t>
  </si>
  <si>
    <t>조온새</t>
  </si>
  <si>
    <t>user643494</t>
  </si>
  <si>
    <t>윤미르</t>
  </si>
  <si>
    <t>user127200</t>
  </si>
  <si>
    <t>name-711615540</t>
  </si>
  <si>
    <t>user143330</t>
  </si>
  <si>
    <t>name-2333946155</t>
  </si>
  <si>
    <t>user611678</t>
  </si>
  <si>
    <t>name-152019034</t>
  </si>
  <si>
    <t>user588672</t>
  </si>
  <si>
    <t>name-1577089796</t>
  </si>
  <si>
    <t>name-3024334810</t>
  </si>
  <si>
    <t>user176966</t>
  </si>
  <si>
    <t>name-3950354643</t>
  </si>
  <si>
    <t>kupo****</t>
  </si>
  <si>
    <t>E761320363</t>
  </si>
  <si>
    <t>name-387383824</t>
  </si>
  <si>
    <t>user348212</t>
  </si>
  <si>
    <t>name-26061424</t>
  </si>
  <si>
    <t>user630264</t>
  </si>
  <si>
    <t>최해든</t>
  </si>
  <si>
    <t>user554317</t>
  </si>
  <si>
    <t>name-1532972220</t>
  </si>
  <si>
    <t>user223610</t>
  </si>
  <si>
    <t>한온새</t>
  </si>
  <si>
    <t>user715961</t>
  </si>
  <si>
    <t>name-845223483</t>
  </si>
  <si>
    <t>user171883</t>
  </si>
  <si>
    <t>정바다</t>
  </si>
  <si>
    <t>박지음</t>
  </si>
  <si>
    <t>user97376</t>
  </si>
  <si>
    <t>name-2200774865</t>
  </si>
  <si>
    <t>user56171</t>
  </si>
  <si>
    <t>F351676179</t>
  </si>
  <si>
    <t>name-220476526</t>
  </si>
  <si>
    <t>신가온</t>
  </si>
  <si>
    <t>user187594</t>
  </si>
  <si>
    <t>name-233916877</t>
  </si>
  <si>
    <t>user564140</t>
  </si>
  <si>
    <t>name-2359895449</t>
  </si>
  <si>
    <t>name-2295665867</t>
  </si>
  <si>
    <t>user69296</t>
  </si>
  <si>
    <t>name-2018067831</t>
  </si>
  <si>
    <t>gum***</t>
  </si>
  <si>
    <t>name-3901530473</t>
  </si>
  <si>
    <t>user855789</t>
  </si>
  <si>
    <t>정아름</t>
  </si>
  <si>
    <t>user484255</t>
  </si>
  <si>
    <t>김새롬</t>
  </si>
  <si>
    <t>user274836</t>
  </si>
  <si>
    <t>name-1017329032</t>
  </si>
  <si>
    <t>오한별</t>
  </si>
  <si>
    <t>user245148</t>
  </si>
  <si>
    <t>오온새</t>
  </si>
  <si>
    <t>user272681</t>
  </si>
  <si>
    <t>name-3736634737</t>
  </si>
  <si>
    <t>name-3807088464</t>
  </si>
  <si>
    <t>user200933</t>
  </si>
  <si>
    <t>F348362994</t>
  </si>
  <si>
    <t>한일의료기 탄소 열선 전기 방석 3단 HIM-300T 정품 공급처</t>
  </si>
  <si>
    <t>이누리</t>
  </si>
  <si>
    <t>user541226</t>
  </si>
  <si>
    <t>박온새</t>
  </si>
  <si>
    <t>user766714</t>
  </si>
  <si>
    <t>name-147427109</t>
  </si>
  <si>
    <t>user144220</t>
  </si>
  <si>
    <t>이마루</t>
  </si>
  <si>
    <t>user905625</t>
  </si>
  <si>
    <t>권한별</t>
  </si>
  <si>
    <t>user180766</t>
  </si>
  <si>
    <t>정이든</t>
  </si>
  <si>
    <t>user440035</t>
  </si>
  <si>
    <t>김라온</t>
  </si>
  <si>
    <t>user491792</t>
  </si>
  <si>
    <t>name-1534042326</t>
  </si>
  <si>
    <t>user400398</t>
  </si>
  <si>
    <t>name-1615332657</t>
  </si>
  <si>
    <t>user418491</t>
  </si>
  <si>
    <t>name-2737879948</t>
  </si>
  <si>
    <t>user231720</t>
  </si>
  <si>
    <t>신하늘</t>
  </si>
  <si>
    <t>user258355</t>
  </si>
  <si>
    <t>name-2993165620</t>
  </si>
  <si>
    <t>name-1631981069</t>
  </si>
  <si>
    <t>user908833</t>
  </si>
  <si>
    <t>name-1321227715</t>
  </si>
  <si>
    <t>user917576</t>
  </si>
  <si>
    <t>name-2233529614</t>
  </si>
  <si>
    <t>name-3491711324</t>
  </si>
  <si>
    <t>user473052</t>
  </si>
  <si>
    <t>name-1816180223</t>
  </si>
  <si>
    <t>user116391</t>
  </si>
  <si>
    <t>임슬기</t>
  </si>
  <si>
    <t>name-3938994712</t>
  </si>
  <si>
    <t>user372646</t>
  </si>
  <si>
    <t>이슬기</t>
  </si>
  <si>
    <t>user784308</t>
  </si>
  <si>
    <t>오다솜</t>
  </si>
  <si>
    <t>user572895</t>
  </si>
  <si>
    <t>초강력 간편 휴대용/차량용 코털제거기 코털정리기 (블루)</t>
  </si>
  <si>
    <t>name-198789603</t>
  </si>
  <si>
    <t>user138156</t>
  </si>
  <si>
    <t>name-1460581709</t>
  </si>
  <si>
    <t>user293945</t>
  </si>
  <si>
    <t>name-3587454603</t>
  </si>
  <si>
    <t>name-2607368199</t>
  </si>
  <si>
    <t>user130738</t>
  </si>
  <si>
    <t>정미르</t>
  </si>
  <si>
    <t>user807895</t>
  </si>
  <si>
    <t>전자파 없는 한일의료기 온열 찜질매트 통증완화 극세사 퀸 사이즈 연그레이 HI-2025D 정품 공급처</t>
  </si>
  <si>
    <t>윤마루</t>
  </si>
  <si>
    <t>name-2578505971</t>
  </si>
  <si>
    <t>name-581841940</t>
  </si>
  <si>
    <t>user35078</t>
  </si>
  <si>
    <t>조새롬</t>
  </si>
  <si>
    <t>user963825</t>
  </si>
  <si>
    <t>name-2149453799</t>
  </si>
  <si>
    <t>kjwd****</t>
  </si>
  <si>
    <t>name-3179221202</t>
  </si>
  <si>
    <t>user980262</t>
  </si>
  <si>
    <t>name-1759168019</t>
  </si>
  <si>
    <t>user466194</t>
  </si>
  <si>
    <t>name-3238679333</t>
  </si>
  <si>
    <t>user621108</t>
  </si>
  <si>
    <t>name-2847989624</t>
  </si>
  <si>
    <t>김마루</t>
  </si>
  <si>
    <t>user983350</t>
  </si>
  <si>
    <t>name-698345688</t>
  </si>
  <si>
    <t>user891280</t>
  </si>
  <si>
    <t>윤새롬</t>
  </si>
  <si>
    <t>user734522</t>
  </si>
  <si>
    <t>name-1620280582</t>
  </si>
  <si>
    <t>user343524</t>
  </si>
  <si>
    <t>한해든</t>
  </si>
  <si>
    <t>name-2556706389</t>
  </si>
  <si>
    <t>user177865</t>
  </si>
  <si>
    <t>서지음</t>
  </si>
  <si>
    <t>user493396</t>
  </si>
  <si>
    <t>name-2118728024</t>
  </si>
  <si>
    <t>user237032</t>
  </si>
  <si>
    <t>임바다</t>
  </si>
  <si>
    <t>user387285</t>
  </si>
  <si>
    <t>name-511356133</t>
  </si>
  <si>
    <t>user510766</t>
  </si>
  <si>
    <t>name-2461039251</t>
  </si>
  <si>
    <t>user570684</t>
  </si>
  <si>
    <t>김슬기</t>
  </si>
  <si>
    <t>yski*****</t>
  </si>
  <si>
    <t>한일의료기 탄소 매트 극세사 2겹 더블 매트 (좌우 분리 개별 난방) HIM-3000D2 다크그레이 정품 공급처</t>
  </si>
  <si>
    <t>name-2896791531</t>
  </si>
  <si>
    <t>김**</t>
  </si>
  <si>
    <t>user812032</t>
  </si>
  <si>
    <t>name-2139724406</t>
  </si>
  <si>
    <t>user352699</t>
  </si>
  <si>
    <t>한일의료기 탄소 매트 극세사 더블 HIM-3000D 다크그레이 정품 공급처</t>
  </si>
  <si>
    <t>name-212960841</t>
  </si>
  <si>
    <t>name-2055008784</t>
  </si>
  <si>
    <t>user705838</t>
  </si>
  <si>
    <t>서찬빛</t>
  </si>
  <si>
    <t>name-1607743044</t>
  </si>
  <si>
    <t>user934252</t>
  </si>
  <si>
    <t>조지음</t>
  </si>
  <si>
    <t>user903562</t>
  </si>
  <si>
    <t>name-2716201608</t>
  </si>
  <si>
    <t>user104624</t>
  </si>
  <si>
    <t>name-1689859540</t>
  </si>
  <si>
    <t>user957337</t>
  </si>
  <si>
    <t>이하늘</t>
  </si>
  <si>
    <t>name-2150658211</t>
  </si>
  <si>
    <t>user553064</t>
  </si>
  <si>
    <t>한하늘</t>
  </si>
  <si>
    <t>user651350</t>
  </si>
  <si>
    <t>조가온</t>
  </si>
  <si>
    <t>user924507</t>
  </si>
  <si>
    <t>name-2592590545</t>
  </si>
  <si>
    <t>user977665</t>
  </si>
  <si>
    <t>조해든</t>
  </si>
  <si>
    <t>user141296</t>
  </si>
  <si>
    <t>조초록</t>
  </si>
  <si>
    <t>user569930</t>
  </si>
  <si>
    <t>권새롬</t>
  </si>
  <si>
    <t>강한별</t>
  </si>
  <si>
    <t>user871325</t>
  </si>
  <si>
    <t>name-1482236730</t>
  </si>
  <si>
    <t>user419127</t>
  </si>
  <si>
    <t>최한별</t>
  </si>
  <si>
    <t>user411206</t>
  </si>
  <si>
    <t>한나래</t>
  </si>
  <si>
    <t>user483781</t>
  </si>
  <si>
    <t>name-1544878675</t>
  </si>
  <si>
    <t>user334343</t>
  </si>
  <si>
    <t>서라온</t>
  </si>
  <si>
    <t>user495842</t>
  </si>
  <si>
    <t>name-3601725843</t>
  </si>
  <si>
    <t>name-1390551715</t>
  </si>
  <si>
    <t>user444183</t>
  </si>
  <si>
    <t>name-3226894708</t>
  </si>
  <si>
    <t>user300529</t>
  </si>
  <si>
    <t>name-1856958601</t>
  </si>
  <si>
    <t>user917479</t>
  </si>
  <si>
    <t>name-3863245986</t>
  </si>
  <si>
    <t>user757239</t>
  </si>
  <si>
    <t>차량용 흡입/송풍 2in1 무선 에어건 핸디청소기</t>
  </si>
  <si>
    <t>정초록</t>
  </si>
  <si>
    <t>user781087</t>
  </si>
  <si>
    <t>name-1927269200</t>
  </si>
  <si>
    <t>user254774</t>
  </si>
  <si>
    <t>name-947357924</t>
  </si>
  <si>
    <t>hjlo****</t>
  </si>
  <si>
    <t>name-1543844790</t>
  </si>
  <si>
    <t>user979653</t>
  </si>
  <si>
    <t>박초록</t>
  </si>
  <si>
    <t>name-2498156866</t>
  </si>
  <si>
    <t>user631539</t>
  </si>
  <si>
    <t>장지음</t>
  </si>
  <si>
    <t>user438957</t>
  </si>
  <si>
    <t>오가온</t>
  </si>
  <si>
    <t>user249894</t>
  </si>
  <si>
    <t>name-3471156271</t>
  </si>
  <si>
    <t>user524598</t>
  </si>
  <si>
    <t>name-4136013616</t>
  </si>
  <si>
    <t>user128481</t>
  </si>
  <si>
    <t>name-2823683507</t>
  </si>
  <si>
    <t>user736026</t>
  </si>
  <si>
    <t>신해든</t>
  </si>
  <si>
    <t>winw****</t>
  </si>
  <si>
    <t>name-3922718689</t>
  </si>
  <si>
    <t>user5750</t>
  </si>
  <si>
    <t>한일의료기 탄소 매트 극세사 싱글 HIM-3000S 라이트그레이 정품 공급처</t>
  </si>
  <si>
    <t>user436399</t>
  </si>
  <si>
    <t>김찬빛</t>
  </si>
  <si>
    <t>user329422</t>
  </si>
  <si>
    <t>name-2576995419</t>
  </si>
  <si>
    <t>user914980</t>
  </si>
  <si>
    <t>한이든</t>
  </si>
  <si>
    <t>user887609</t>
  </si>
  <si>
    <t>권이든</t>
  </si>
  <si>
    <t>user803721</t>
  </si>
  <si>
    <t>name-907210506</t>
  </si>
  <si>
    <t>name-10995536</t>
  </si>
  <si>
    <t>user563756</t>
  </si>
  <si>
    <t>임하늘</t>
  </si>
  <si>
    <t>user139373</t>
  </si>
  <si>
    <t>박하늘</t>
  </si>
  <si>
    <t>user249469</t>
  </si>
  <si>
    <t>name-3803486461</t>
  </si>
  <si>
    <t>이아름</t>
  </si>
  <si>
    <t>user685953</t>
  </si>
  <si>
    <t>name-1196244826</t>
  </si>
  <si>
    <t>user100855</t>
  </si>
  <si>
    <t>name-2753126952</t>
  </si>
  <si>
    <t>user240033</t>
  </si>
  <si>
    <t>name-1586758960</t>
  </si>
  <si>
    <t>user383788</t>
  </si>
  <si>
    <t>윤하늘</t>
  </si>
  <si>
    <t>user796774</t>
  </si>
  <si>
    <t>F350536690</t>
  </si>
  <si>
    <t>name-735756999</t>
  </si>
  <si>
    <t>hahah*****</t>
  </si>
  <si>
    <t>name-1280770212</t>
  </si>
  <si>
    <t>user650769</t>
  </si>
  <si>
    <t>신슬기</t>
  </si>
  <si>
    <t>lkm****</t>
  </si>
  <si>
    <t>name-3408417939</t>
  </si>
  <si>
    <t>user753285</t>
  </si>
  <si>
    <t>이새롬</t>
  </si>
  <si>
    <t>user379633</t>
  </si>
  <si>
    <t>박미르</t>
  </si>
  <si>
    <t>user387921</t>
  </si>
  <si>
    <t>임라온</t>
  </si>
  <si>
    <t>user572427</t>
  </si>
  <si>
    <t>장다솜</t>
  </si>
  <si>
    <t>user642354</t>
  </si>
  <si>
    <t>장가온</t>
  </si>
  <si>
    <t>김푸른</t>
  </si>
  <si>
    <t>user238858</t>
  </si>
  <si>
    <t>name-3508325998</t>
  </si>
  <si>
    <t>user252353</t>
  </si>
  <si>
    <t>name-376674620</t>
  </si>
  <si>
    <t>user165396</t>
  </si>
  <si>
    <t>권누리</t>
  </si>
  <si>
    <t>name-307968542</t>
  </si>
  <si>
    <t>user278490</t>
  </si>
  <si>
    <t>name-465262441</t>
  </si>
  <si>
    <t>user244710</t>
  </si>
  <si>
    <t>임다솜</t>
  </si>
  <si>
    <t>name-1641830622</t>
  </si>
  <si>
    <t>user601158</t>
  </si>
  <si>
    <t>name-472607486</t>
  </si>
  <si>
    <t>user335</t>
  </si>
  <si>
    <t>name-482069178</t>
  </si>
  <si>
    <t>user208327</t>
  </si>
  <si>
    <t>오누리</t>
  </si>
  <si>
    <t>name-2087215725</t>
  </si>
  <si>
    <t>user111110</t>
  </si>
  <si>
    <t>장마루</t>
  </si>
  <si>
    <t>user881323</t>
  </si>
  <si>
    <t>name-25118481</t>
  </si>
  <si>
    <t>user764391</t>
  </si>
  <si>
    <t>name-3543385841</t>
  </si>
  <si>
    <t>user803743</t>
  </si>
  <si>
    <t>name-3849228319</t>
  </si>
  <si>
    <t>user419235</t>
  </si>
  <si>
    <t>name-3780349179</t>
  </si>
  <si>
    <t>user869430</t>
  </si>
  <si>
    <t>name-1254358210</t>
  </si>
  <si>
    <t>pmj0*****</t>
  </si>
  <si>
    <t>name-1630306889</t>
  </si>
  <si>
    <t>user887659</t>
  </si>
  <si>
    <t>장찬빛</t>
  </si>
  <si>
    <t>user270711</t>
  </si>
  <si>
    <t>name-276516508</t>
  </si>
  <si>
    <t>user303879</t>
  </si>
  <si>
    <t>윤가온</t>
  </si>
  <si>
    <t>user236443</t>
  </si>
  <si>
    <t>name-1633936087</t>
  </si>
  <si>
    <t>user380290</t>
  </si>
  <si>
    <t>name-876957856</t>
  </si>
  <si>
    <t>user876465</t>
  </si>
  <si>
    <t>name-4058441595</t>
  </si>
  <si>
    <t>user124651</t>
  </si>
  <si>
    <t>name-2546054322</t>
  </si>
  <si>
    <t>강미르</t>
  </si>
  <si>
    <t>user688752</t>
  </si>
  <si>
    <t>이해든</t>
  </si>
  <si>
    <t>user698241</t>
  </si>
  <si>
    <t>user567970</t>
  </si>
  <si>
    <t>권찬빛</t>
  </si>
  <si>
    <t>name-2304574895</t>
  </si>
  <si>
    <t>steel*****</t>
  </si>
  <si>
    <t>name-1545008417</t>
  </si>
  <si>
    <t>경******************운</t>
  </si>
  <si>
    <t>user130317</t>
  </si>
  <si>
    <t>name-1968128083</t>
  </si>
  <si>
    <t>권해든</t>
  </si>
  <si>
    <t>user532186</t>
  </si>
  <si>
    <t>name-2138383552</t>
  </si>
  <si>
    <t>user433844</t>
  </si>
  <si>
    <t>name-3289744212</t>
  </si>
  <si>
    <t>user402442</t>
  </si>
  <si>
    <t>name-3928588318</t>
  </si>
  <si>
    <t>user18940</t>
  </si>
  <si>
    <t>name-3647958538</t>
  </si>
  <si>
    <t>name-2775281145</t>
  </si>
  <si>
    <t>user369144</t>
  </si>
  <si>
    <t>name-3700846738</t>
  </si>
  <si>
    <t>name-3663818935</t>
  </si>
  <si>
    <t>user420995</t>
  </si>
  <si>
    <t>name-1098261485</t>
  </si>
  <si>
    <t>온새상점</t>
  </si>
  <si>
    <t>user920902</t>
  </si>
  <si>
    <t>name-2867608100</t>
  </si>
  <si>
    <t>name-2436135245</t>
  </si>
  <si>
    <t>user145160</t>
  </si>
  <si>
    <t>C862111207</t>
  </si>
  <si>
    <t>임초록</t>
  </si>
  <si>
    <t>user484157</t>
  </si>
  <si>
    <t>name-3076990496</t>
  </si>
  <si>
    <t>user99110</t>
  </si>
  <si>
    <t>임나래</t>
  </si>
  <si>
    <t>user694743</t>
  </si>
  <si>
    <t>한한별</t>
  </si>
  <si>
    <t>user977622</t>
  </si>
  <si>
    <t>장온새</t>
  </si>
  <si>
    <t>user735532</t>
  </si>
  <si>
    <t>name-2624454115</t>
  </si>
  <si>
    <t>ricky*****</t>
  </si>
  <si>
    <t>name-2968916764</t>
  </si>
  <si>
    <t>shw****</t>
  </si>
  <si>
    <t>name-2349288620</t>
  </si>
  <si>
    <t>user216751</t>
  </si>
  <si>
    <t>강하늘</t>
  </si>
  <si>
    <t>user897049</t>
  </si>
  <si>
    <t>name-3049163214</t>
  </si>
  <si>
    <t>user581287</t>
  </si>
  <si>
    <t>name-3715223744</t>
  </si>
  <si>
    <t>user580529</t>
  </si>
  <si>
    <t>최누리</t>
  </si>
  <si>
    <t>user348920</t>
  </si>
  <si>
    <t>강아름</t>
  </si>
  <si>
    <t>user431777</t>
  </si>
  <si>
    <t>오이든</t>
  </si>
  <si>
    <t>user789822</t>
  </si>
  <si>
    <t>name-3777199266</t>
  </si>
  <si>
    <t>user764890</t>
  </si>
  <si>
    <t>정찬빛</t>
  </si>
  <si>
    <t>user390272</t>
  </si>
  <si>
    <t>name-759987265</t>
  </si>
  <si>
    <t>name-721615583</t>
  </si>
  <si>
    <t>user561975</t>
  </si>
  <si>
    <t>name-4065513666</t>
  </si>
  <si>
    <t>user413104</t>
  </si>
  <si>
    <t>name-2871713316</t>
  </si>
  <si>
    <t>user287784</t>
  </si>
  <si>
    <t>name-595002037</t>
  </si>
  <si>
    <t>user15088</t>
  </si>
  <si>
    <t>name-206121071</t>
  </si>
  <si>
    <t>name-3324534629</t>
  </si>
  <si>
    <t>user863177</t>
  </si>
  <si>
    <t>name-998691052</t>
  </si>
  <si>
    <t>user294537</t>
  </si>
  <si>
    <t>한일의료기 탄소 열선 전기 방석 5단 HIM-500T 정품 공급처</t>
  </si>
  <si>
    <t>name-941250710</t>
  </si>
  <si>
    <t>user363870</t>
  </si>
  <si>
    <t>권온새</t>
  </si>
  <si>
    <t>user375314</t>
  </si>
  <si>
    <t>오하늘</t>
  </si>
  <si>
    <t>user748426</t>
  </si>
  <si>
    <t>서나래</t>
  </si>
  <si>
    <t>user938726</t>
  </si>
  <si>
    <t>name-2949031310</t>
  </si>
  <si>
    <t>user919574</t>
  </si>
  <si>
    <t>프리미엄 고출력 블루투스 노래방 마이크 스피커 세트 강의용 무선마이크 BLUE-LINE LED미러볼 추가증정</t>
  </si>
  <si>
    <t>name-3834382114</t>
  </si>
  <si>
    <t>이다솜</t>
  </si>
  <si>
    <t>user689099</t>
  </si>
  <si>
    <t>name-845420710</t>
  </si>
  <si>
    <t>user706028</t>
  </si>
  <si>
    <t>김하늘</t>
  </si>
  <si>
    <t>user629528</t>
  </si>
  <si>
    <t>한지음</t>
  </si>
  <si>
    <t>user722776</t>
  </si>
  <si>
    <t>name-130188945</t>
  </si>
  <si>
    <t>name-247662420</t>
  </si>
  <si>
    <t>user908413</t>
  </si>
  <si>
    <t>name-608859109</t>
  </si>
  <si>
    <t>user513460</t>
  </si>
  <si>
    <t>name-4110307881</t>
  </si>
  <si>
    <t>user373053</t>
  </si>
  <si>
    <t>name-3264176800</t>
  </si>
  <si>
    <t>user770628</t>
  </si>
  <si>
    <t>name-752954539</t>
  </si>
  <si>
    <t>user84403</t>
  </si>
  <si>
    <t>name-3605647722</t>
  </si>
  <si>
    <t>name-2244846555</t>
  </si>
  <si>
    <t>user250043</t>
  </si>
  <si>
    <t>name-3798004765</t>
  </si>
  <si>
    <t>user437196</t>
  </si>
  <si>
    <t>김미르</t>
  </si>
  <si>
    <t>user377806</t>
  </si>
  <si>
    <t>최나래</t>
  </si>
  <si>
    <t>user932802</t>
  </si>
  <si>
    <t>name-3226827876</t>
  </si>
  <si>
    <t>name-458487637</t>
  </si>
  <si>
    <t>user253704</t>
  </si>
  <si>
    <t>신바다</t>
  </si>
  <si>
    <t>user68779</t>
  </si>
  <si>
    <t>권미르</t>
  </si>
  <si>
    <t>user149285</t>
  </si>
  <si>
    <t>name-1685516219</t>
  </si>
  <si>
    <t>864****</t>
  </si>
  <si>
    <t>name-446971990</t>
  </si>
  <si>
    <t>user229606</t>
  </si>
  <si>
    <t>오새롬</t>
  </si>
  <si>
    <t>권바다</t>
  </si>
  <si>
    <t>user615992</t>
  </si>
  <si>
    <t>신미르</t>
  </si>
  <si>
    <t>rkdgk*****</t>
  </si>
  <si>
    <t>name-3154720922</t>
  </si>
  <si>
    <t>name-651537847</t>
  </si>
  <si>
    <t>user250035</t>
  </si>
  <si>
    <t>name-2704582563</t>
  </si>
  <si>
    <t>user241025</t>
  </si>
  <si>
    <t>정다솜</t>
  </si>
  <si>
    <t>user791673</t>
  </si>
  <si>
    <t>권가온</t>
  </si>
  <si>
    <t>user170883</t>
  </si>
  <si>
    <t>name-1892564759</t>
  </si>
  <si>
    <t>user887517</t>
  </si>
  <si>
    <t>name-4269891479</t>
  </si>
  <si>
    <t>name-1058422185</t>
  </si>
  <si>
    <t>tjsw*****</t>
  </si>
  <si>
    <t>name-2171052176</t>
  </si>
  <si>
    <t>user649764</t>
  </si>
  <si>
    <t>name-3812102087</t>
  </si>
  <si>
    <t>name-3683873698</t>
  </si>
  <si>
    <t>user16383</t>
  </si>
  <si>
    <t>name-2947569287</t>
  </si>
  <si>
    <t>su**</t>
  </si>
  <si>
    <t>name-3002250650</t>
  </si>
  <si>
    <t>user317902</t>
  </si>
  <si>
    <t>name-3007515610</t>
  </si>
  <si>
    <t>user690616</t>
  </si>
  <si>
    <t>name-2693894328</t>
  </si>
  <si>
    <t>user182424</t>
  </si>
  <si>
    <t>name-2420939581</t>
  </si>
  <si>
    <t>정해든</t>
  </si>
  <si>
    <t>user693403</t>
  </si>
  <si>
    <t>name-1415438060</t>
  </si>
  <si>
    <t>서한별</t>
  </si>
  <si>
    <t>user448454</t>
  </si>
  <si>
    <t>조푸른</t>
  </si>
  <si>
    <t>user701810</t>
  </si>
  <si>
    <t>윤온새</t>
  </si>
  <si>
    <t>user738797</t>
  </si>
  <si>
    <t>name-2430965411</t>
  </si>
  <si>
    <t>name-2697442931</t>
  </si>
  <si>
    <t>user856144</t>
  </si>
  <si>
    <t>서누리</t>
  </si>
  <si>
    <t>user433878</t>
  </si>
  <si>
    <t>name-1683711479</t>
  </si>
  <si>
    <t>user578842</t>
  </si>
  <si>
    <t>F348436150</t>
  </si>
  <si>
    <t>name-3267396820</t>
  </si>
  <si>
    <t>user69402</t>
  </si>
  <si>
    <t>name-2197002165</t>
  </si>
  <si>
    <t>user805231</t>
  </si>
  <si>
    <t>장새롬</t>
  </si>
  <si>
    <t>user622090</t>
  </si>
  <si>
    <t>name-1892811928</t>
  </si>
  <si>
    <t>user587758</t>
  </si>
  <si>
    <t>서새롬</t>
  </si>
  <si>
    <t>user512521</t>
  </si>
  <si>
    <t>한새롬</t>
  </si>
  <si>
    <t>user927067</t>
  </si>
  <si>
    <t>user410661</t>
  </si>
  <si>
    <t>name-3842244210</t>
  </si>
  <si>
    <t>user59575</t>
  </si>
  <si>
    <t>한아름</t>
  </si>
  <si>
    <t>user64369</t>
  </si>
  <si>
    <t>name-2633359645</t>
  </si>
  <si>
    <t>hw***</t>
  </si>
  <si>
    <t>name-3987157240</t>
  </si>
  <si>
    <t>user40065</t>
  </si>
  <si>
    <t>name-3975042169</t>
  </si>
  <si>
    <t>user907309</t>
  </si>
  <si>
    <t>최바다</t>
  </si>
  <si>
    <t>user866457</t>
  </si>
  <si>
    <t>오라온</t>
  </si>
  <si>
    <t>user864905</t>
  </si>
  <si>
    <t>이찬빛</t>
  </si>
  <si>
    <t>user97433</t>
  </si>
  <si>
    <t>name-412417315</t>
  </si>
  <si>
    <t>user261595</t>
  </si>
  <si>
    <t>name-11383558</t>
  </si>
  <si>
    <t>user245501</t>
  </si>
  <si>
    <t>name-2791697673</t>
  </si>
  <si>
    <t>user444992</t>
  </si>
  <si>
    <t>신지음</t>
  </si>
  <si>
    <t>user455723</t>
  </si>
  <si>
    <t>권아름</t>
  </si>
  <si>
    <t>name-1120924974</t>
  </si>
  <si>
    <t>user365380</t>
  </si>
  <si>
    <t>장한별</t>
  </si>
  <si>
    <t>user494056</t>
  </si>
  <si>
    <t>name-3573015696</t>
  </si>
  <si>
    <t>ghkru*****</t>
  </si>
  <si>
    <t>name-1300054125</t>
  </si>
  <si>
    <t>name-4049329098</t>
  </si>
  <si>
    <t>user732100</t>
  </si>
  <si>
    <t>박마루</t>
  </si>
  <si>
    <t>user274337</t>
  </si>
  <si>
    <t>name-2789891657</t>
  </si>
  <si>
    <t>user514010</t>
  </si>
  <si>
    <t>권지음</t>
  </si>
  <si>
    <t>user239122</t>
  </si>
  <si>
    <t>name-1850539057</t>
  </si>
  <si>
    <t>user396231</t>
  </si>
  <si>
    <t>한일의료기 탄소 매트 극세사 싱글 HIM-3000S 다크그레이 정품 공급처</t>
  </si>
  <si>
    <t>강마루</t>
  </si>
  <si>
    <t>user323211</t>
  </si>
  <si>
    <t>name-4078980630</t>
  </si>
  <si>
    <t>김다솜</t>
  </si>
  <si>
    <t>chuk*****</t>
  </si>
  <si>
    <t>name-2626293010</t>
  </si>
  <si>
    <t>aove****</t>
  </si>
  <si>
    <t>name-4089802090</t>
  </si>
  <si>
    <t>user340012</t>
  </si>
  <si>
    <t>정지음</t>
  </si>
  <si>
    <t>user496994</t>
  </si>
  <si>
    <t>name-3132220690</t>
  </si>
  <si>
    <t>user122339</t>
  </si>
  <si>
    <t>name-2867061843</t>
  </si>
  <si>
    <t>user211899</t>
  </si>
  <si>
    <t>name-3488609002</t>
  </si>
  <si>
    <t>user923380</t>
  </si>
  <si>
    <t>정온새</t>
  </si>
  <si>
    <t>kyhk****</t>
  </si>
  <si>
    <t>name-816757625</t>
  </si>
  <si>
    <t>user235718</t>
  </si>
  <si>
    <t>name-3914279890</t>
  </si>
  <si>
    <t>yeji****</t>
  </si>
  <si>
    <t>name-379232602</t>
  </si>
  <si>
    <t>user139317</t>
  </si>
  <si>
    <t>name-4201159753</t>
  </si>
  <si>
    <t>user950178</t>
  </si>
  <si>
    <t>name-725092770</t>
  </si>
  <si>
    <t>user129806</t>
  </si>
  <si>
    <t>name-778353523</t>
  </si>
  <si>
    <t>name-10415611</t>
  </si>
  <si>
    <t>user989136</t>
  </si>
  <si>
    <t>name-1429027804</t>
  </si>
  <si>
    <t>user1133</t>
  </si>
  <si>
    <t>name-3105432950</t>
  </si>
  <si>
    <t>user842229</t>
  </si>
  <si>
    <t>윤이든</t>
  </si>
  <si>
    <t>user973155</t>
  </si>
  <si>
    <t>name-3621332345</t>
  </si>
  <si>
    <t>user137403</t>
  </si>
  <si>
    <t>name-3133982424</t>
  </si>
  <si>
    <t>user221771</t>
  </si>
  <si>
    <t>name-1907626796</t>
  </si>
  <si>
    <t>dldls*****</t>
  </si>
  <si>
    <t>user639833</t>
  </si>
  <si>
    <t>이나래</t>
  </si>
  <si>
    <t>user261799</t>
  </si>
  <si>
    <t>신온새</t>
  </si>
  <si>
    <t>user487771</t>
  </si>
  <si>
    <t>name-2989232326</t>
  </si>
  <si>
    <t>name-2973117716</t>
  </si>
  <si>
    <t>user800913</t>
  </si>
  <si>
    <t>name-2628397127</t>
  </si>
  <si>
    <t>최가온</t>
  </si>
  <si>
    <t>wa***</t>
  </si>
  <si>
    <t>name-406815687</t>
  </si>
  <si>
    <t>name-1187185541</t>
  </si>
  <si>
    <t>gara****</t>
  </si>
  <si>
    <t>name-4059140315</t>
  </si>
  <si>
    <t>user852157</t>
  </si>
  <si>
    <t>name-2583484082</t>
  </si>
  <si>
    <t>user616528</t>
  </si>
  <si>
    <t>name-1979425365</t>
  </si>
  <si>
    <t>name-4145666649</t>
  </si>
  <si>
    <t>user698486</t>
  </si>
  <si>
    <t>name-647735810</t>
  </si>
  <si>
    <t>user8354</t>
  </si>
  <si>
    <t>name-10320546</t>
  </si>
  <si>
    <t>name-3010549435</t>
  </si>
  <si>
    <t>user81325</t>
  </si>
  <si>
    <t>name-975642048</t>
  </si>
  <si>
    <t>한초록</t>
  </si>
  <si>
    <t>user768691</t>
  </si>
  <si>
    <t>장슬기</t>
  </si>
  <si>
    <t>권마루</t>
  </si>
  <si>
    <t>user57789</t>
  </si>
  <si>
    <t>서마루</t>
  </si>
  <si>
    <t>user366275</t>
  </si>
  <si>
    <t>name-4020263070</t>
  </si>
  <si>
    <t>merci*****</t>
  </si>
  <si>
    <t>user192100</t>
  </si>
  <si>
    <t>조아름</t>
  </si>
  <si>
    <t>오마루</t>
  </si>
  <si>
    <t>user548841</t>
  </si>
  <si>
    <t>장푸른</t>
  </si>
  <si>
    <t>user695714</t>
  </si>
  <si>
    <t>박한별</t>
  </si>
  <si>
    <t>name-1174472553</t>
  </si>
  <si>
    <t>user626209</t>
  </si>
  <si>
    <t>임지음</t>
  </si>
  <si>
    <t>user458462</t>
  </si>
  <si>
    <t>한미르</t>
  </si>
  <si>
    <t>user863021</t>
  </si>
  <si>
    <t>장아름</t>
  </si>
  <si>
    <t>rhaeh*****</t>
  </si>
  <si>
    <t>파스텔 3in1 맥세이프 기내반입 보조배터리 애플워치충전기 10000mAh 산뜻한 파스텔톤에 워치까지 한번에~</t>
  </si>
  <si>
    <t>name-3969912403</t>
  </si>
  <si>
    <t>gm5***</t>
  </si>
  <si>
    <t>name-2845992734</t>
  </si>
  <si>
    <t>user696566</t>
  </si>
  <si>
    <t>name-3867018664</t>
  </si>
  <si>
    <t>user520537</t>
  </si>
  <si>
    <t>name-3652800676</t>
  </si>
  <si>
    <t>user389753</t>
  </si>
  <si>
    <t>조누리</t>
  </si>
  <si>
    <t>user8576</t>
  </si>
  <si>
    <t>name-900156537</t>
  </si>
  <si>
    <t>user571525</t>
  </si>
  <si>
    <t>E760412559</t>
  </si>
  <si>
    <t>간편휴대 차량용 미니 전기 면도기 (C타입충전) 블랙/그린 2가지 색상</t>
  </si>
  <si>
    <t>윤아름</t>
  </si>
  <si>
    <t>name-1291363774</t>
  </si>
  <si>
    <t>user30591</t>
  </si>
  <si>
    <t>장해든</t>
  </si>
  <si>
    <t>user965049</t>
  </si>
  <si>
    <t>이가온</t>
  </si>
  <si>
    <t>user93624</t>
  </si>
  <si>
    <t>윤다솜</t>
  </si>
  <si>
    <t>bn1***</t>
  </si>
  <si>
    <t>name-199793043</t>
  </si>
  <si>
    <t>user850306</t>
  </si>
  <si>
    <t>name-984658150</t>
  </si>
  <si>
    <t>user722122</t>
  </si>
  <si>
    <t>name-3709566436</t>
  </si>
  <si>
    <t>user87658</t>
  </si>
  <si>
    <t>name-1207858462</t>
  </si>
  <si>
    <t>user768617</t>
  </si>
  <si>
    <t>name-1860799705</t>
  </si>
  <si>
    <t>user710770</t>
  </si>
  <si>
    <t>임아름</t>
  </si>
  <si>
    <t>user873330</t>
  </si>
  <si>
    <t>name-272041800</t>
  </si>
  <si>
    <t>user984276</t>
  </si>
  <si>
    <t>최슬기</t>
  </si>
  <si>
    <t>jjy****</t>
  </si>
  <si>
    <t>name-1382815273</t>
  </si>
  <si>
    <t>user192883</t>
  </si>
  <si>
    <t>name-75209401</t>
  </si>
  <si>
    <t>user506020</t>
  </si>
  <si>
    <t>이지음</t>
  </si>
  <si>
    <t>kim6****</t>
  </si>
  <si>
    <t>name-3435873317</t>
  </si>
  <si>
    <t>user953847</t>
  </si>
  <si>
    <t>name-1757632280</t>
  </si>
  <si>
    <t>user493913</t>
  </si>
  <si>
    <t>name-604723696</t>
  </si>
  <si>
    <t>user791142</t>
  </si>
  <si>
    <t>박바다</t>
  </si>
  <si>
    <t>user417136</t>
  </si>
  <si>
    <t>정하늘</t>
  </si>
  <si>
    <t>user36120</t>
  </si>
  <si>
    <t>name-2909744727</t>
  </si>
  <si>
    <t>mula****</t>
  </si>
  <si>
    <t>user626045</t>
  </si>
  <si>
    <t>이한별</t>
  </si>
  <si>
    <t>user425583</t>
  </si>
  <si>
    <t>조한별</t>
  </si>
  <si>
    <t>user507702</t>
  </si>
  <si>
    <t>권라온</t>
  </si>
  <si>
    <t>장바다</t>
  </si>
  <si>
    <t>user625906</t>
  </si>
  <si>
    <t>신라온</t>
  </si>
  <si>
    <t>노출수</t>
  </si>
  <si>
    <t>클릭수</t>
  </si>
  <si>
    <t>클릭률</t>
  </si>
  <si>
    <t>평균노출순위</t>
  </si>
  <si>
    <t>평균클릭비용</t>
  </si>
  <si>
    <t>총비용</t>
  </si>
  <si>
    <t>구매수</t>
  </si>
  <si>
    <t>전환율</t>
  </si>
  <si>
    <t>광고수익률</t>
  </si>
  <si>
    <t>날짜별</t>
  </si>
  <si>
    <t>광고상품기준-주문수</t>
  </si>
  <si>
    <t>광고상품기준-구매수</t>
  </si>
  <si>
    <t>광고상품기준-구매금액</t>
  </si>
  <si>
    <t>판매자기준-주문수</t>
  </si>
  <si>
    <t>판매자기준-구매수</t>
  </si>
  <si>
    <t>판매자기준-구매금액</t>
  </si>
  <si>
    <t>판매자기준-전환율</t>
  </si>
  <si>
    <t>판매자기준-광고수익률</t>
  </si>
  <si>
    <t>NO</t>
  </si>
  <si>
    <t>주문순번</t>
  </si>
  <si>
    <t>배송번호</t>
  </si>
  <si>
    <t>주문상태</t>
  </si>
  <si>
    <t>구매자ID</t>
  </si>
  <si>
    <t>결제완료일</t>
  </si>
  <si>
    <t>발송처리일</t>
  </si>
  <si>
    <t>배송완료일</t>
  </si>
  <si>
    <t>수취확인일</t>
  </si>
  <si>
    <t>정산확정일</t>
  </si>
  <si>
    <t>송금완료일</t>
  </si>
  <si>
    <t>옵션명</t>
  </si>
  <si>
    <t>정산금액</t>
  </si>
  <si>
    <t>판매금액합계</t>
  </si>
  <si>
    <t>추가정산금액합계</t>
  </si>
  <si>
    <t>공제금액합계</t>
  </si>
  <si>
    <t>빠른정산선지급금액</t>
  </si>
  <si>
    <t>판매가</t>
  </si>
  <si>
    <t>옵션가</t>
  </si>
  <si>
    <t>선결제배송비</t>
  </si>
  <si>
    <t>도서산간배송비</t>
  </si>
  <si>
    <t>구매자부담 반품/교환배송비</t>
  </si>
  <si>
    <t>반품/교환추가금</t>
  </si>
  <si>
    <t>반품선결제배송비</t>
  </si>
  <si>
    <t>반품도서산간배송비</t>
  </si>
  <si>
    <t>해외취소배송비</t>
  </si>
  <si>
    <t>티켓예매수수료</t>
  </si>
  <si>
    <t>티켓취소예매수수료</t>
  </si>
  <si>
    <t>티켓취소위약금</t>
  </si>
  <si>
    <t>여행취소위약금</t>
  </si>
  <si>
    <t>[장산]스토어묶음할인</t>
  </si>
  <si>
    <t>송장번호</t>
  </si>
  <si>
    <t>서비스이용료정책</t>
  </si>
  <si>
    <t>기본서비스이용율</t>
  </si>
  <si>
    <t>서비스이용료(상품)</t>
  </si>
  <si>
    <t>제휴마케팅대행(상품)</t>
  </si>
  <si>
    <t>서비스이용료(선결제배송비)</t>
  </si>
  <si>
    <t>제휴마케팅대행(선결제배송비)</t>
  </si>
  <si>
    <t>할인쿠폰이용료</t>
  </si>
  <si>
    <t>판매자기본할인</t>
  </si>
  <si>
    <t>판매자추가할인</t>
  </si>
  <si>
    <t>11번가할인</t>
  </si>
  <si>
    <t>복수구매할인비용</t>
  </si>
  <si>
    <t>판매자부담카드추가할인</t>
  </si>
  <si>
    <t>[공제]스토어묶음할인</t>
  </si>
  <si>
    <t>포인트이용료</t>
  </si>
  <si>
    <t>칩이용료</t>
  </si>
  <si>
    <t>무이자할부이용료</t>
  </si>
  <si>
    <t>후불광고비</t>
  </si>
  <si>
    <t>지정택배이용료</t>
  </si>
  <si>
    <t>전세계배송 판매자책임반품</t>
  </si>
  <si>
    <t>수출대행수수료</t>
  </si>
  <si>
    <t>물류이용수수료</t>
  </si>
  <si>
    <t>반품보험료</t>
  </si>
  <si>
    <t>20251101007738962</t>
  </si>
  <si>
    <t>구매확정</t>
  </si>
  <si>
    <t>서아름</t>
  </si>
  <si>
    <t>kon*********</t>
  </si>
  <si>
    <t>머레이 3in1 맥세이프 보조배터리 애플워치 충전독 일체형 10000mAh 대용량 스마트폰 거치대</t>
  </si>
  <si>
    <t>색상:블랙-1개</t>
  </si>
  <si>
    <t>동의</t>
  </si>
  <si>
    <t>20251101007755765</t>
  </si>
  <si>
    <t>박푸른</t>
  </si>
  <si>
    <t>wbd***</t>
  </si>
  <si>
    <t>머레이 스톤 손난로 보조배터리 10,000mAh 대용량배터리 / KC안전인증 / 3단온도조절 / 양면 급속발열 / LED액정 잔량표시 / 수족냉증</t>
  </si>
  <si>
    <t>색상:매트 핑크-1개</t>
  </si>
  <si>
    <t>20251101007937558</t>
  </si>
  <si>
    <t>name-3719882576</t>
  </si>
  <si>
    <t>wpf***</t>
  </si>
  <si>
    <t>머레이 무선 블루투스 인체공학 버티컬 마우스 BM-550</t>
  </si>
  <si>
    <t>1개</t>
  </si>
  <si>
    <t>20251101007947086</t>
  </si>
  <si>
    <t>name-1741642988</t>
  </si>
  <si>
    <t>100********************</t>
  </si>
  <si>
    <t>머레이 맥세이프 스마트폰 360도 회전 다용도 거치대 (맥세이프링 포함) 차량용 책상용 사무용 강력거치</t>
  </si>
  <si>
    <t>수량:단품 구매(1개)-1개</t>
  </si>
  <si>
    <t>20251101008090674</t>
  </si>
  <si>
    <t>박새롬</t>
  </si>
  <si>
    <t>360****************</t>
  </si>
  <si>
    <t>20251101008145165</t>
  </si>
  <si>
    <t>강가온</t>
  </si>
  <si>
    <t>423****************</t>
  </si>
  <si>
    <t>머레이 휴대용 미니 전기면도기 SV-2 학교 여행 회사 출장용 면도기</t>
  </si>
  <si>
    <t>색상:실버 그레이-1개</t>
  </si>
  <si>
    <t>20251101008234458</t>
  </si>
  <si>
    <t>name-336367376</t>
  </si>
  <si>
    <t>qnf***</t>
  </si>
  <si>
    <t>색상:글리터 그린-1개</t>
  </si>
  <si>
    <t>20251102008313667</t>
  </si>
  <si>
    <t>name-1468199151</t>
  </si>
  <si>
    <t>gra****</t>
  </si>
  <si>
    <t>차량용 캐릭터 송풍구 방향제 MK-KUKII 프로펠러 디퓨저</t>
  </si>
  <si>
    <t>디자인:쿠키 도그 그린 (오션향)-1개</t>
  </si>
  <si>
    <t>디자인:히키 베어 블랙 (바닐라향)-1개</t>
  </si>
  <si>
    <t>20251102008387489</t>
  </si>
  <si>
    <t>임새롬</t>
  </si>
  <si>
    <t>nsh***</t>
  </si>
  <si>
    <t>원쁠원 머레이 4IN1 미니스탠드 스마트기기 무선충전기 F5 (+25W 고속충전어댑터 세트) 애플워치 갤럭시워치 에어팟 버즈 호환 갤럭시S25 충전기</t>
  </si>
  <si>
    <t>호환모델/색상:삼성전용/화이트,초고속충전어댑터 색상:화이트-1개</t>
  </si>
  <si>
    <t>20251102008498823</t>
  </si>
  <si>
    <t>name-506429549</t>
  </si>
  <si>
    <t>asy****************</t>
  </si>
  <si>
    <t>색상:매트 블랙-1개</t>
  </si>
  <si>
    <t>20251102008536442</t>
  </si>
  <si>
    <t>임한별</t>
  </si>
  <si>
    <t>lif*************************</t>
  </si>
  <si>
    <t>20251102008573477</t>
  </si>
  <si>
    <t>name-1441973605</t>
  </si>
  <si>
    <t>jun*****</t>
  </si>
  <si>
    <t>한일의료기 안전한 고급 탄소 카본 전기매트 온열매트 극세사 싱글 HIM-3000S</t>
  </si>
  <si>
    <t>컬러:다크그레이-1개</t>
  </si>
  <si>
    <t>20251102008604249</t>
  </si>
  <si>
    <t>name-2118638057</t>
  </si>
  <si>
    <t>okj*****</t>
  </si>
  <si>
    <t>머레이 2세대 볼펜형 코털/잔털정리기 GR-PEN 트리머기기 코털제거기 눈썹정리</t>
  </si>
  <si>
    <t>20251102008630175</t>
  </si>
  <si>
    <t>박나래</t>
  </si>
  <si>
    <t>tjr****</t>
  </si>
  <si>
    <t>수량:단품 구매(1개)-3개</t>
  </si>
  <si>
    <t>20251102008674957</t>
  </si>
  <si>
    <t>장라온</t>
  </si>
  <si>
    <t>sop******</t>
  </si>
  <si>
    <t>호환모델/색상:애플전용/화이트,초고속충전어댑터 색상:화이트-1개</t>
  </si>
  <si>
    <t>20251102008692964</t>
  </si>
  <si>
    <t>name-2669469696</t>
  </si>
  <si>
    <t>ilo*******</t>
  </si>
  <si>
    <t>머레이 오픈형 이어후크 블루투스 무선 이어폰 BT-90 조깅 사이클 자전거 야외 전투용 가성비 이어폰</t>
  </si>
  <si>
    <t>색상:화이트 그린-1개</t>
  </si>
  <si>
    <t>20251102008760181</t>
  </si>
  <si>
    <t>이푸른</t>
  </si>
  <si>
    <t>ful****</t>
  </si>
  <si>
    <t>20251102008820579</t>
  </si>
  <si>
    <t>박라온</t>
  </si>
  <si>
    <t>dsm****</t>
  </si>
  <si>
    <t>색상:매트 그린-1개</t>
  </si>
  <si>
    <t>20251103008921855</t>
  </si>
  <si>
    <t>name-1573043230</t>
  </si>
  <si>
    <t>ok4***</t>
  </si>
  <si>
    <t>한일의료기 안전한 고급 탄소 카본 전기매트 온열매트 극세사 더블 HIM-3000D</t>
  </si>
  <si>
    <t>20251103009065102</t>
  </si>
  <si>
    <t>name-4053625367</t>
  </si>
  <si>
    <t>msg*****</t>
  </si>
  <si>
    <t>색상:매트 블랙-2개</t>
  </si>
  <si>
    <t>20251103009081195</t>
  </si>
  <si>
    <t>서이든</t>
  </si>
  <si>
    <t>ujh****</t>
  </si>
  <si>
    <t>20251103009099559</t>
  </si>
  <si>
    <t>오미르</t>
  </si>
  <si>
    <t>kth****</t>
  </si>
  <si>
    <t>20251103009195848</t>
  </si>
  <si>
    <t>name-3414716769</t>
  </si>
  <si>
    <t>ljh********</t>
  </si>
  <si>
    <t>머레이 절전형 발열 파티션 워머 LY-PH4 사무실 책상 발난로 히팅패드 전기히터온풍기 전기담요</t>
  </si>
  <si>
    <t>20251103009371128</t>
  </si>
  <si>
    <t>정한별</t>
  </si>
  <si>
    <t>sin*****</t>
  </si>
  <si>
    <t>20251103009385491</t>
  </si>
  <si>
    <t>한라온</t>
  </si>
  <si>
    <t>cal****</t>
  </si>
  <si>
    <t>20251103009430834</t>
  </si>
  <si>
    <t>강다솜</t>
  </si>
  <si>
    <t>son****</t>
  </si>
  <si>
    <t>20251103009485457</t>
  </si>
  <si>
    <t>최온새</t>
  </si>
  <si>
    <t>gon******</t>
  </si>
  <si>
    <t>20251104009545616</t>
  </si>
  <si>
    <t>name-2411294526</t>
  </si>
  <si>
    <t>lik****</t>
  </si>
  <si>
    <t>머레이 25W PD3.0 PPS 초고속 충전기 어댑터 + C타입 케이블 세트</t>
  </si>
  <si>
    <t>색상:화이트+블랙 2세트-1개 (+6500원)</t>
  </si>
  <si>
    <t>20251104009547581</t>
  </si>
  <si>
    <t>신초록</t>
  </si>
  <si>
    <t>kbs*****</t>
  </si>
  <si>
    <t>20251104009611105</t>
  </si>
  <si>
    <t>새롬물산</t>
  </si>
  <si>
    <t>rks********</t>
  </si>
  <si>
    <t>머레이 일체형 도킹형 고속 10W 대용량 보조배터리 5000mAh KC안전인증 갤럭시 아이폰 C타입 라이트닝젠더</t>
  </si>
  <si>
    <t>색상:파스텔 퍼플,충전단자(스트랩C타입 동일):본체8Pin(아이폰용)-10개</t>
  </si>
  <si>
    <t>색상:베이비 핑크,충전단자(스트랩C타입 동일):본체8Pin(아이폰용)-10개</t>
  </si>
  <si>
    <t>색상:딥 블랙,충전단자(스트랩C타입 동일):본체8Pin(아이폰용)-10개</t>
  </si>
  <si>
    <t>20251104009729625</t>
  </si>
  <si>
    <t>name-512718668</t>
  </si>
  <si>
    <t>ape*****</t>
  </si>
  <si>
    <t>name-1214061277</t>
  </si>
  <si>
    <t>gan*******</t>
  </si>
  <si>
    <t>색상:매트 그린-9개</t>
  </si>
  <si>
    <t>색상:매트 블랙-10개</t>
  </si>
  <si>
    <t>20251104009842476</t>
  </si>
  <si>
    <t>name-1681264304</t>
  </si>
  <si>
    <t>han*****</t>
  </si>
  <si>
    <t>20251104009994792</t>
  </si>
  <si>
    <t>mnb*****</t>
  </si>
  <si>
    <t>20251105010285964</t>
  </si>
  <si>
    <t>name-3339452678</t>
  </si>
  <si>
    <t>ljj***</t>
  </si>
  <si>
    <t>20251105010305467</t>
  </si>
  <si>
    <t>신새롬</t>
  </si>
  <si>
    <t>syh****</t>
  </si>
  <si>
    <t>20251105010330019</t>
  </si>
  <si>
    <t>name-2419070241</t>
  </si>
  <si>
    <t>yhs****</t>
  </si>
  <si>
    <t>20251105010331354</t>
  </si>
  <si>
    <t>name-4033053505</t>
  </si>
  <si>
    <t>kai****</t>
  </si>
  <si>
    <t>호환모델/색상:삼성전용/블랙,초고속충전어댑터 색상:블랙-1개</t>
  </si>
  <si>
    <t>20251105010454202</t>
  </si>
  <si>
    <t>name-3853291241</t>
  </si>
  <si>
    <t>agn****</t>
  </si>
  <si>
    <t>머레이 필수템 레인보우LED 블루투스 스피커 노래방기기 듀얼마이크 수업용 가정용 스피커 (가족/학교/여행/MT/야유회/학예회/캠핑 핫템) +LED미러볼 세트</t>
  </si>
  <si>
    <t>색상 선택:블랙-1개</t>
  </si>
  <si>
    <t>20251105010539035</t>
  </si>
  <si>
    <t>정슬기</t>
  </si>
  <si>
    <t>oxy******</t>
  </si>
  <si>
    <t>20251106010652569</t>
  </si>
  <si>
    <t>name-3801936706</t>
  </si>
  <si>
    <t>egl*****</t>
  </si>
  <si>
    <t>머레이 LED알람시계 4in1 맥세이프 고속무선충전기 갤럭시워치 올인원충전기+맥세이프링 세트</t>
  </si>
  <si>
    <t>색상:시크 블랙-1개</t>
  </si>
  <si>
    <t>20251106010653775</t>
  </si>
  <si>
    <t>name-117823074</t>
  </si>
  <si>
    <t>sdj****</t>
  </si>
  <si>
    <t>머레이 자동차 HUD 속도계 M-8 차량용 유리창 속도계 헤드업디스플레이</t>
  </si>
  <si>
    <t>20251106010955933</t>
  </si>
  <si>
    <t>한누리</t>
  </si>
  <si>
    <t>lun*******</t>
  </si>
  <si>
    <t>MURRAY 스마트 미니 차량용 공기청정기 PQ-200 흡연자 필수템</t>
  </si>
  <si>
    <t>모델명/품번:로즈 골드-1개</t>
  </si>
  <si>
    <t>20251106011053287</t>
  </si>
  <si>
    <t>마루상회</t>
  </si>
  <si>
    <t>241****************</t>
  </si>
  <si>
    <t>20251106011065430</t>
  </si>
  <si>
    <t>박다솜</t>
  </si>
  <si>
    <t>man*****</t>
  </si>
  <si>
    <t>색상:화이트+블랙 2세트-10개 (+65000원)</t>
  </si>
  <si>
    <t>20251107011211120</t>
  </si>
  <si>
    <t>20251107011327726</t>
  </si>
  <si>
    <t>name-2036026740</t>
  </si>
  <si>
    <t>bom*******</t>
  </si>
  <si>
    <t>20251107011517727</t>
  </si>
  <si>
    <t>강바다</t>
  </si>
  <si>
    <t>spa****</t>
  </si>
  <si>
    <t>모델명/품번:그레이 실버-1개</t>
  </si>
  <si>
    <t>20251108011816964</t>
  </si>
  <si>
    <t>서초록</t>
  </si>
  <si>
    <t>rks************</t>
  </si>
  <si>
    <t>20251108011818568</t>
  </si>
  <si>
    <t>장나래</t>
  </si>
  <si>
    <t>thf*************</t>
  </si>
  <si>
    <t>20251108011822848</t>
  </si>
  <si>
    <t>name-3954807983</t>
  </si>
  <si>
    <t>lee*******</t>
  </si>
  <si>
    <t>호환모델/색상:삼성전용/화이트,초고속충전어댑터 색상:블랙-1개</t>
  </si>
  <si>
    <t>20251108011837593</t>
  </si>
  <si>
    <t>name-2463301098</t>
  </si>
  <si>
    <t>sm1****</t>
  </si>
  <si>
    <t>20251108011910846</t>
  </si>
  <si>
    <t>강초록</t>
  </si>
  <si>
    <t>epj***</t>
  </si>
  <si>
    <t>20251109012038970</t>
  </si>
  <si>
    <t>name-1712997293</t>
  </si>
  <si>
    <t>wog******</t>
  </si>
  <si>
    <t>20251109012044791</t>
  </si>
  <si>
    <t>최지음</t>
  </si>
  <si>
    <t>ssa*****</t>
  </si>
  <si>
    <t>20251109012137184</t>
  </si>
  <si>
    <t>name-1797936151</t>
  </si>
  <si>
    <t>dra*****</t>
  </si>
  <si>
    <t>머레이 2세대 강력 코털/잔털정리기 ZP-10 트리머기기 생활방수 코털제거기 눈썹정리</t>
  </si>
  <si>
    <t>오찬빛</t>
  </si>
  <si>
    <t>ko4*****</t>
  </si>
  <si>
    <t>머레이 사이드 스트링 자전거 가방 MK-039BK</t>
  </si>
  <si>
    <t>20251110012517213</t>
  </si>
  <si>
    <t>최새롬</t>
  </si>
  <si>
    <t>pes*****************</t>
  </si>
  <si>
    <t>20251110012594932</t>
  </si>
  <si>
    <t>강온새</t>
  </si>
  <si>
    <t>min******</t>
  </si>
  <si>
    <t>머레이 감성 인테리어 3in1 고속 무선충전기 무드등 갤럭시워치 애플워치 버즈 에어팟 완벽호환 갤럭시S25 충전기</t>
  </si>
  <si>
    <t>호환모델/색상:삼성전용/화이트-1개</t>
  </si>
  <si>
    <t>20251110012683804</t>
  </si>
  <si>
    <t>name-1061146359</t>
  </si>
  <si>
    <t>tjd******</t>
  </si>
  <si>
    <t>20251110012687822</t>
  </si>
  <si>
    <t>강누리</t>
  </si>
  <si>
    <t>bpa*****</t>
  </si>
  <si>
    <t>20251110012691158</t>
  </si>
  <si>
    <t>name-135974134</t>
  </si>
  <si>
    <t>lio*****</t>
  </si>
  <si>
    <t>20251110012751746</t>
  </si>
  <si>
    <t>김이든</t>
  </si>
  <si>
    <t>ade******</t>
  </si>
  <si>
    <t>name-2715467667</t>
  </si>
  <si>
    <t>ryu****</t>
  </si>
  <si>
    <t>색상:베이비 핑크,충전단자(스트랩C타입 동일):본체8Pin(아이폰용)-1개</t>
  </si>
  <si>
    <t>퍼플/8핀</t>
  </si>
  <si>
    <t>20251111013029727</t>
  </si>
  <si>
    <t>이이든</t>
  </si>
  <si>
    <t>mar******</t>
  </si>
  <si>
    <t>색상:퍼플-1개</t>
  </si>
  <si>
    <t>20251111013162341</t>
  </si>
  <si>
    <t>정라온</t>
  </si>
  <si>
    <t>klp****</t>
  </si>
  <si>
    <t>20251111013186442</t>
  </si>
  <si>
    <t>name-3321742555</t>
  </si>
  <si>
    <t>jbc***</t>
  </si>
  <si>
    <t>20251111013269598</t>
  </si>
  <si>
    <t>name-1085928760</t>
  </si>
  <si>
    <t>dyd*******</t>
  </si>
  <si>
    <t>20251111013323838</t>
  </si>
  <si>
    <t>name-3341429195</t>
  </si>
  <si>
    <t>jul******</t>
  </si>
  <si>
    <t>색상:블랙+블랙 2세트-1개 (+6500원)</t>
  </si>
  <si>
    <t>20251111013363677</t>
  </si>
  <si>
    <t>신마루</t>
  </si>
  <si>
    <t>khs*******</t>
  </si>
  <si>
    <t>20251111013454107</t>
  </si>
  <si>
    <t>name-608979841</t>
  </si>
  <si>
    <t>na7*****</t>
  </si>
  <si>
    <t>20251111013568244</t>
  </si>
  <si>
    <t>name-1471631420</t>
  </si>
  <si>
    <t>noo***</t>
  </si>
  <si>
    <t>20251111013687931</t>
  </si>
  <si>
    <t>name-1769355075</t>
  </si>
  <si>
    <t>god*****</t>
  </si>
  <si>
    <t>한일의료기 안전한 고급 탄소 카본 전기방석 온도조절 방석 극세사 3단 HIM-300T</t>
  </si>
  <si>
    <t>색상:다크그레이-1개</t>
  </si>
  <si>
    <t>20251111013761252</t>
  </si>
  <si>
    <t>강새롬</t>
  </si>
  <si>
    <t>kog***</t>
  </si>
  <si>
    <t>한일의료기 전자파없는 탄소 프리미엄 전기매트 전기요 온열매트 HI-2025</t>
  </si>
  <si>
    <t>사이즈:슈퍼싱글-1개</t>
  </si>
  <si>
    <t>20251111013852821</t>
  </si>
  <si>
    <t>최이든</t>
  </si>
  <si>
    <t>zer****</t>
  </si>
  <si>
    <t>색상:베이비 핑크,충전단자(스트랩C타입 동일):본체C타입-2개</t>
  </si>
  <si>
    <t>20251111013884752</t>
  </si>
  <si>
    <t>name-157200387</t>
  </si>
  <si>
    <t>her*****</t>
  </si>
  <si>
    <t>한일의료기 안전한 고급 탄소 카본 전기방석 온도조절 방석 극세사 5단 HIM-500T</t>
  </si>
  <si>
    <t>20251111013988861</t>
  </si>
  <si>
    <t>name-296662460</t>
  </si>
  <si>
    <t>did******</t>
  </si>
  <si>
    <t>20251112014150227</t>
  </si>
  <si>
    <t>윤라온</t>
  </si>
  <si>
    <t>mje***</t>
  </si>
  <si>
    <t>20251112014169905</t>
  </si>
  <si>
    <t>bag******</t>
  </si>
  <si>
    <t>20251112014193329</t>
  </si>
  <si>
    <t>name-3251616971</t>
  </si>
  <si>
    <t>sky*****</t>
  </si>
  <si>
    <t>호환모델/색상:애플전용/화이트,초고속충전어댑터 색상:레몬옐로우-1개</t>
  </si>
  <si>
    <t>20251112014271852</t>
  </si>
  <si>
    <t>name-2069378857</t>
  </si>
  <si>
    <t>hon********</t>
  </si>
  <si>
    <t>수량:세트 구매(2개)-1개 (+18000원)</t>
  </si>
  <si>
    <t>20251113014375064</t>
  </si>
  <si>
    <t>장이든</t>
  </si>
  <si>
    <t>nic*****</t>
  </si>
  <si>
    <t>20251113014528075</t>
  </si>
  <si>
    <t>name-3266518968</t>
  </si>
  <si>
    <t>iam******</t>
  </si>
  <si>
    <t>20251114014554350</t>
  </si>
  <si>
    <t>임찬빛</t>
  </si>
  <si>
    <t>kkj****</t>
  </si>
  <si>
    <t>20251115014858895</t>
  </si>
  <si>
    <t>name-2813888423</t>
  </si>
  <si>
    <t>dlw********</t>
  </si>
  <si>
    <t>20251116015079072</t>
  </si>
  <si>
    <t>name-607499840</t>
  </si>
  <si>
    <t>dhr******</t>
  </si>
  <si>
    <t>20251116015144099</t>
  </si>
  <si>
    <t>name-3108038311</t>
  </si>
  <si>
    <t>b38***</t>
  </si>
  <si>
    <t>20251117015259789</t>
  </si>
  <si>
    <t>name-2847464621</t>
  </si>
  <si>
    <t>cha******</t>
  </si>
  <si>
    <t>20251117015310854</t>
  </si>
  <si>
    <t>dwo**************************</t>
  </si>
  <si>
    <t>추석선물 인기템 MURRAY 효자손 갈고리형 전신 마사지기 고급마사지건 4종 헤드세트 전신 마사지 해머 어깨 안마</t>
  </si>
  <si>
    <t>수량:효자손 마사지기 단품-1개</t>
  </si>
  <si>
    <t>20251117015354822</t>
  </si>
  <si>
    <t>name-1848081902</t>
  </si>
  <si>
    <t>jmj*******</t>
  </si>
  <si>
    <t>한바다</t>
  </si>
  <si>
    <t>kim*****************</t>
  </si>
  <si>
    <t>20251117015449483</t>
  </si>
  <si>
    <t>이미르</t>
  </si>
  <si>
    <t>tmd*******</t>
  </si>
  <si>
    <t>20251117015479278</t>
  </si>
  <si>
    <t>name-3179458542</t>
  </si>
  <si>
    <t>290****************</t>
  </si>
  <si>
    <t>머레이 고급형 롱바디 블루투스 맥세이프 셀카봉 170cm 삼각대</t>
  </si>
  <si>
    <t>20251118015506803</t>
  </si>
  <si>
    <t>윤찬빛</t>
  </si>
  <si>
    <t>jhk****</t>
  </si>
  <si>
    <t>20251118015517729</t>
  </si>
  <si>
    <t>name-3295013986</t>
  </si>
  <si>
    <t>rrn****</t>
  </si>
  <si>
    <t>2개</t>
  </si>
  <si>
    <t>20251118015562603</t>
  </si>
  <si>
    <t>신나래</t>
  </si>
  <si>
    <t>b06******</t>
  </si>
  <si>
    <t>한일의료기 안전한 고급 탄소 카본 전기매트 온열매트 극세사 2겹 더블 좌우 분리 개별 난방 HIM-3000D2</t>
  </si>
  <si>
    <t>20251118015643274</t>
  </si>
  <si>
    <t>name-4255688841</t>
  </si>
  <si>
    <t>mey*****</t>
  </si>
  <si>
    <t>스마트폰으로 보면서! 내시경 귀이개 MSEC-100</t>
  </si>
  <si>
    <t>색상:옐로우-1개</t>
  </si>
  <si>
    <t>20251118015649369</t>
  </si>
  <si>
    <t>name-3243483146</t>
  </si>
  <si>
    <t>yk7******</t>
  </si>
  <si>
    <t>20251118015677360</t>
  </si>
  <si>
    <t>name-629946430</t>
  </si>
  <si>
    <t>rhr********</t>
  </si>
  <si>
    <t>20251118015694964</t>
  </si>
  <si>
    <t>name-4025810550</t>
  </si>
  <si>
    <t>lee********</t>
  </si>
  <si>
    <t>20251118015756836</t>
  </si>
  <si>
    <t>name-1100700571</t>
  </si>
  <si>
    <t>son******</t>
  </si>
  <si>
    <t>20251118015870633</t>
  </si>
  <si>
    <t>윤누리</t>
  </si>
  <si>
    <t>sky***</t>
  </si>
  <si>
    <t>머레이 쥴 전자담배 전용 파우치</t>
  </si>
  <si>
    <t>20251119015960932</t>
  </si>
  <si>
    <t>name-268150265</t>
  </si>
  <si>
    <t>072*******</t>
  </si>
  <si>
    <t>20251119015981095</t>
  </si>
  <si>
    <t>조하늘</t>
  </si>
  <si>
    <t>140****************</t>
  </si>
  <si>
    <t>사이즈:퀸-1개 (+10000원)</t>
  </si>
  <si>
    <t>20251119016095436</t>
  </si>
  <si>
    <t>name-1093306391</t>
  </si>
  <si>
    <t>gey*****</t>
  </si>
  <si>
    <t>갤럭시워치 충전독 일체형 고속 무선충전 맥세이프 보조배터리 M-DOC +맥세이프링 세트 애플워치 충전기</t>
  </si>
  <si>
    <t>워치호환/색상:갤럭시워치/블랙-1개</t>
  </si>
  <si>
    <t>20251119016118184</t>
  </si>
  <si>
    <t>name-552157654</t>
  </si>
  <si>
    <t>gto******</t>
  </si>
  <si>
    <t>색상:파스텔 퍼플,충전단자(스트랩C타입 동일):본체8Pin(아이폰용)-2개</t>
  </si>
  <si>
    <t>색상:심플 화이트,충전단자(스트랩C타입 동일):본체8Pin(아이폰용)-2개</t>
  </si>
  <si>
    <t>색상:베이비 핑크,충전단자(스트랩C타입 동일):본체8Pin(아이폰용)-2개</t>
  </si>
  <si>
    <t>20251120016305096</t>
  </si>
  <si>
    <t>한푸른</t>
  </si>
  <si>
    <t>suy******</t>
  </si>
  <si>
    <t>머레이 무선 휴대용 충전식 물대포 고급 고압 워터건 WT-GUN 고수압 세차건 셀프 세차장 세차용품 차량관리 농약분무기 제초제분사기 살포기</t>
  </si>
  <si>
    <t>여분배터리 +1</t>
  </si>
  <si>
    <t>20251120016311846</t>
  </si>
  <si>
    <t>서미르</t>
  </si>
  <si>
    <t>jsk***</t>
  </si>
  <si>
    <t>색상:글리터 그린-2개</t>
  </si>
  <si>
    <t>20251120016363916</t>
  </si>
  <si>
    <t>서온새</t>
  </si>
  <si>
    <t>gos*****</t>
  </si>
  <si>
    <t>20251120016389488</t>
  </si>
  <si>
    <t>name-1320819989</t>
  </si>
  <si>
    <t>snm****</t>
  </si>
  <si>
    <t>색상:매트 핑크-6개</t>
  </si>
  <si>
    <t>20251120016401605</t>
  </si>
  <si>
    <t>name-3439292662</t>
  </si>
  <si>
    <t>squ*******</t>
  </si>
  <si>
    <t>가성비로 여름나기 레인신발커버/레인부츠/장화</t>
  </si>
  <si>
    <t>레인신발커버:남성용_XL(270~275mm),디자인-사이즈:랜덤발송_디자인 선택불가-2개</t>
  </si>
  <si>
    <t>20251120016410485</t>
  </si>
  <si>
    <t>오아름</t>
  </si>
  <si>
    <t>kts****</t>
  </si>
  <si>
    <t>머레이 도킹형 보조배터리 갤럭시워치 애플워치 충전기 일체형 5000mAh 대용량 보조배터리</t>
  </si>
  <si>
    <t>워치 호환모델:갤럭시워치,본체 충전단자:C타입,색상:퍼플-1개</t>
  </si>
  <si>
    <t>20251120016416346</t>
  </si>
  <si>
    <t>name-1240293692</t>
  </si>
  <si>
    <t>yha*******</t>
  </si>
  <si>
    <t>고성능 파워 공기주입기 듀얼실린더 풋 에어펌프 AP-170 자전거 자동차 타이어 발 펌프 컴프레셔 수동 공기유입기</t>
  </si>
  <si>
    <t>20251120016448908</t>
  </si>
  <si>
    <t>name-1228096990</t>
  </si>
  <si>
    <t>lee****</t>
  </si>
  <si>
    <t>머레이 유/무선충전 스마트펜슬 2세대 애플펜슬 완벽호환 (아이패드 전용) +메탈펜촉 세트</t>
  </si>
  <si>
    <t>20251120016461674</t>
  </si>
  <si>
    <t>박슬기</t>
  </si>
  <si>
    <t>kin*****</t>
  </si>
  <si>
    <t>20251120016484115</t>
  </si>
  <si>
    <t>name-294836579</t>
  </si>
  <si>
    <t>kyu***************************</t>
  </si>
  <si>
    <t>20251120016515543</t>
  </si>
  <si>
    <t>name-1362175686</t>
  </si>
  <si>
    <t>gil****************</t>
  </si>
  <si>
    <t>20251120016518580</t>
  </si>
  <si>
    <t>name-624527312</t>
  </si>
  <si>
    <t>s80****</t>
  </si>
  <si>
    <t>색상:오렌지-1개</t>
  </si>
  <si>
    <t>20251121016582613</t>
  </si>
  <si>
    <t>name-3360525642</t>
  </si>
  <si>
    <t>yar*****</t>
  </si>
  <si>
    <t>호환모델/색상:애플전용/퍼플-1개</t>
  </si>
  <si>
    <t>20251121016610180</t>
  </si>
  <si>
    <t>name-132194384</t>
  </si>
  <si>
    <t>los*******</t>
  </si>
  <si>
    <t>20251121016631968</t>
  </si>
  <si>
    <t>강슬기</t>
  </si>
  <si>
    <t>gga*****</t>
  </si>
  <si>
    <t>20251121016659432</t>
  </si>
  <si>
    <t>김온새</t>
  </si>
  <si>
    <t>k30*****</t>
  </si>
  <si>
    <t>20251121016689096</t>
  </si>
  <si>
    <t>name-1237534429</t>
  </si>
  <si>
    <t>suk*******</t>
  </si>
  <si>
    <t>머레이 아이패드 전용 종이질감 나노흡착 액정필름 탈부착형 2중보호 보호필름</t>
  </si>
  <si>
    <t>옵션:M-FILM-4-1개</t>
  </si>
  <si>
    <t>20251122016909103</t>
  </si>
  <si>
    <t>강지음</t>
  </si>
  <si>
    <t>spr****</t>
  </si>
  <si>
    <t>머레이 차량용 비상탈출 망치 SAFETY HAMMER</t>
  </si>
  <si>
    <t>색상:실버-1개</t>
  </si>
  <si>
    <t>20251122016984322</t>
  </si>
  <si>
    <t>김초록</t>
  </si>
  <si>
    <t>kis****</t>
  </si>
  <si>
    <t>20251122016988504</t>
  </si>
  <si>
    <t>신누리</t>
  </si>
  <si>
    <t>pji********</t>
  </si>
  <si>
    <t>20251123017028905</t>
  </si>
  <si>
    <t>조나래</t>
  </si>
  <si>
    <t>256****************</t>
  </si>
  <si>
    <t>20251123017107138</t>
  </si>
  <si>
    <t>박이든</t>
  </si>
  <si>
    <t>pwy****</t>
  </si>
  <si>
    <t>20251123017203246</t>
  </si>
  <si>
    <t>name-276468798</t>
  </si>
  <si>
    <t>nan****</t>
  </si>
  <si>
    <t>색상:화이트+화이트 2세트-1개 (+6500원)</t>
  </si>
  <si>
    <t>20251124017287263</t>
  </si>
  <si>
    <t>name-3019949581</t>
  </si>
  <si>
    <t>kyu*****</t>
  </si>
  <si>
    <t>20251124017458396</t>
  </si>
  <si>
    <t>김지음</t>
  </si>
  <si>
    <t>kim*****</t>
  </si>
  <si>
    <t>20251124017513498</t>
  </si>
  <si>
    <t>강푸른</t>
  </si>
  <si>
    <t>dlr*******</t>
  </si>
  <si>
    <t>LED크리스탈 스노우볼 오르골 무드등 인테리어 오브제</t>
  </si>
  <si>
    <t>옵션:벤치커플-1개</t>
  </si>
  <si>
    <t>20251125017669278</t>
  </si>
  <si>
    <t>name-1805440588</t>
  </si>
  <si>
    <t>scl****</t>
  </si>
  <si>
    <t>머레이 필수템 고출력 LED 블루투스 스피커 노래방기기 듀얼마이크 수업용 가정용 스피커 BLUE LINE (가족/학교/여행/MT/야유회/학예회/캠핑 핫템) +LED미러볼 세트</t>
  </si>
  <si>
    <t>20251125017788008</t>
  </si>
  <si>
    <t>한다솜</t>
  </si>
  <si>
    <t>kim*******</t>
  </si>
  <si>
    <t>디자인:캡틴라이크 아이보리 (자스민향)-1개</t>
  </si>
  <si>
    <t>20251126017886828</t>
  </si>
  <si>
    <t>name-2318346655</t>
  </si>
  <si>
    <t>hic*******</t>
  </si>
  <si>
    <t>20251126017918380</t>
  </si>
  <si>
    <t>김나래</t>
  </si>
  <si>
    <t>fiv*****</t>
  </si>
  <si>
    <t>20251126017978591</t>
  </si>
  <si>
    <t>최아름</t>
  </si>
  <si>
    <t>fbt****</t>
  </si>
  <si>
    <t>20251127018356167</t>
  </si>
  <si>
    <t>김누리</t>
  </si>
  <si>
    <t>kan******************</t>
  </si>
  <si>
    <t>20251128018424165</t>
  </si>
  <si>
    <t>조다솜</t>
  </si>
  <si>
    <t>gwo***</t>
  </si>
  <si>
    <t>워치 호환모델:갤럭시워치,본체 충전단자:C타입,색상:화이트-1개</t>
  </si>
  <si>
    <t>20251105010615217</t>
  </si>
  <si>
    <t>name-4176002687</t>
  </si>
  <si>
    <t>na9***</t>
  </si>
  <si>
    <t>컬러:다크그레이-0개</t>
  </si>
  <si>
    <t>20251106011130055</t>
  </si>
  <si>
    <t>name-1371917913</t>
  </si>
  <si>
    <t>han*******</t>
  </si>
  <si>
    <t>0개</t>
  </si>
  <si>
    <t>20251128018554361</t>
  </si>
  <si>
    <t>발송완료</t>
  </si>
  <si>
    <t>장누리</t>
  </si>
  <si>
    <t>wwe*****</t>
  </si>
  <si>
    <t>색상:블루-1개</t>
  </si>
  <si>
    <t>20251128018554854</t>
  </si>
  <si>
    <t>name-2755323853</t>
  </si>
  <si>
    <t>388****************</t>
  </si>
  <si>
    <t>20251129018663970</t>
  </si>
  <si>
    <t>최초록</t>
  </si>
  <si>
    <t>kt3*************</t>
  </si>
  <si>
    <t>20251129018699712</t>
  </si>
  <si>
    <t>name-3319802350</t>
  </si>
  <si>
    <t>321****************</t>
  </si>
  <si>
    <t>20251129018732733</t>
  </si>
  <si>
    <t>name-4136510450</t>
  </si>
  <si>
    <t>wha******</t>
  </si>
  <si>
    <t>20251129018743918</t>
  </si>
  <si>
    <t>name-3185915430</t>
  </si>
  <si>
    <t>hoj******</t>
  </si>
  <si>
    <t>20251129018749836</t>
  </si>
  <si>
    <t>name-2136599831</t>
  </si>
  <si>
    <t>jme***</t>
  </si>
  <si>
    <t>20251129018750806</t>
  </si>
  <si>
    <t>name-2879979167</t>
  </si>
  <si>
    <t>lo7*****</t>
  </si>
  <si>
    <t>20251129018751598</t>
  </si>
  <si>
    <t>윤푸른</t>
  </si>
  <si>
    <t>gua***</t>
  </si>
  <si>
    <t>20251129018760230</t>
  </si>
  <si>
    <t>name-54265153</t>
  </si>
  <si>
    <t>tjd****************</t>
  </si>
  <si>
    <t>워치호환/색상:애플워치/화이트-1개</t>
  </si>
  <si>
    <t>20251129018780581</t>
  </si>
  <si>
    <t>name-1813256584</t>
  </si>
  <si>
    <t>cpi*****</t>
  </si>
  <si>
    <t>20251130018808390</t>
  </si>
  <si>
    <t>강이든</t>
  </si>
  <si>
    <t>sak******</t>
  </si>
  <si>
    <t>20251130018888366</t>
  </si>
  <si>
    <t>name-819665476</t>
  </si>
  <si>
    <t>sta****</t>
  </si>
  <si>
    <t>MURRAY 충전식 무선 블루투스 마우스 BM-350</t>
  </si>
  <si>
    <t>20251130018930627</t>
  </si>
  <si>
    <t>가온상사</t>
  </si>
  <si>
    <t>228****************</t>
  </si>
  <si>
    <t>머레이 국내제조 고급 차량용 송풍구 마카롱 방향제 디퓨저 인증통과 3종 아로마 세트 선물</t>
  </si>
  <si>
    <t>색상:그린-2개</t>
  </si>
  <si>
    <t>20251130018930616</t>
  </si>
  <si>
    <t>박찬빛</t>
  </si>
  <si>
    <t>key***</t>
  </si>
  <si>
    <t>20251130018946843</t>
  </si>
  <si>
    <t>임마루</t>
  </si>
  <si>
    <t>jay********</t>
  </si>
  <si>
    <t>20251130018954314</t>
  </si>
  <si>
    <t>name-3576233626</t>
  </si>
  <si>
    <t>dak*********</t>
  </si>
  <si>
    <t>임푸른</t>
  </si>
  <si>
    <t>S|1***************</t>
  </si>
  <si>
    <t>20251121016726931</t>
  </si>
  <si>
    <t>권다솜</t>
  </si>
  <si>
    <t>als*****</t>
  </si>
  <si>
    <t>20251121016739376</t>
  </si>
  <si>
    <t>name-745102255</t>
  </si>
  <si>
    <t>dog*************************</t>
  </si>
  <si>
    <t>20251121016760745</t>
  </si>
  <si>
    <t>name-331522383</t>
  </si>
  <si>
    <t>yos****</t>
  </si>
  <si>
    <t>20251122016819617</t>
  </si>
  <si>
    <t>장초록</t>
  </si>
  <si>
    <t>pjh******</t>
  </si>
  <si>
    <t>20251122016833819</t>
  </si>
  <si>
    <t>박누리</t>
  </si>
  <si>
    <t>gre******</t>
  </si>
  <si>
    <t>20251122016865696</t>
  </si>
  <si>
    <t>name-2170198857</t>
  </si>
  <si>
    <t>sta*****</t>
  </si>
  <si>
    <t>20251122016870603</t>
  </si>
  <si>
    <t>오지음</t>
  </si>
  <si>
    <t>mmy****</t>
  </si>
  <si>
    <t>20251122016875219</t>
  </si>
  <si>
    <t>name-1918118459</t>
  </si>
  <si>
    <t>see****</t>
  </si>
  <si>
    <t>20251122016953810</t>
  </si>
  <si>
    <t>신이든</t>
  </si>
  <si>
    <t>he0***</t>
  </si>
  <si>
    <t>20251122016977579</t>
  </si>
  <si>
    <t>조미르</t>
  </si>
  <si>
    <t>the*******</t>
  </si>
  <si>
    <t>20251123017044466</t>
  </si>
  <si>
    <t>name-1955978098</t>
  </si>
  <si>
    <t>swe*******</t>
  </si>
  <si>
    <t>name-275464720</t>
  </si>
  <si>
    <t>S|6**************</t>
  </si>
  <si>
    <t>20251124017501679</t>
  </si>
  <si>
    <t>name-904016121</t>
  </si>
  <si>
    <t>20251124017555964</t>
  </si>
  <si>
    <t>name-1736945232</t>
  </si>
  <si>
    <t>vlf*****</t>
  </si>
  <si>
    <t>20251125017671396</t>
  </si>
  <si>
    <t>name-2611387506</t>
  </si>
  <si>
    <t>rl0***</t>
  </si>
  <si>
    <t>20251125017677264</t>
  </si>
  <si>
    <t>강찬빛</t>
  </si>
  <si>
    <t>eri*****</t>
  </si>
  <si>
    <t>20251125017682859</t>
  </si>
  <si>
    <t>임미르</t>
  </si>
  <si>
    <t>wmf*******</t>
  </si>
  <si>
    <t>호환모델/색상:삼성전용/화이트,초고속충전어댑터 색상:파스텔블루-1개</t>
  </si>
  <si>
    <t>20251125017739930</t>
  </si>
  <si>
    <t>name-4284301444</t>
  </si>
  <si>
    <t>shk****</t>
  </si>
  <si>
    <t>머레이 2in1 듀얼 그린 레이저 음성 거리측정기 100M KC인증 현장용 가정용</t>
  </si>
  <si>
    <t>20251125017777519</t>
  </si>
  <si>
    <t>name-2532520045</t>
  </si>
  <si>
    <t>S|2****************</t>
  </si>
  <si>
    <t>머레이 아기별 손난로 보조배터리</t>
  </si>
  <si>
    <t>색상:베이비 핑크-1개</t>
  </si>
  <si>
    <t>20251125017787657</t>
  </si>
  <si>
    <t>임이든</t>
  </si>
  <si>
    <t>h93***</t>
  </si>
  <si>
    <t>20251125017828409</t>
  </si>
  <si>
    <t>name-3962357368</t>
  </si>
  <si>
    <t>joc******</t>
  </si>
  <si>
    <t>20251126017863336</t>
  </si>
  <si>
    <t>오나래</t>
  </si>
  <si>
    <t>apo****</t>
  </si>
  <si>
    <t>20251126017889538</t>
  </si>
  <si>
    <t>김바다</t>
  </si>
  <si>
    <t>ks4***</t>
  </si>
  <si>
    <t>옵션:가로등커플-1개</t>
  </si>
  <si>
    <t>20251126017915085</t>
  </si>
  <si>
    <t>name-1548273507</t>
  </si>
  <si>
    <t>ggu******</t>
  </si>
  <si>
    <t>20251126017949239</t>
  </si>
  <si>
    <t>name-1638270294</t>
  </si>
  <si>
    <t>nag******</t>
  </si>
  <si>
    <t>20251126018017765</t>
  </si>
  <si>
    <t>name-896366381</t>
  </si>
  <si>
    <t>jyc****</t>
  </si>
  <si>
    <t>20251126018022215</t>
  </si>
  <si>
    <t>name-2394738044</t>
  </si>
  <si>
    <t>hee*******</t>
  </si>
  <si>
    <t>20251126018037864</t>
  </si>
  <si>
    <t>name-2318479498</t>
  </si>
  <si>
    <t>194****************</t>
  </si>
  <si>
    <t>20251126018044659</t>
  </si>
  <si>
    <t>name-4042802596</t>
  </si>
  <si>
    <t>sil****************</t>
  </si>
  <si>
    <t>20251127018162817</t>
  </si>
  <si>
    <t>서바다</t>
  </si>
  <si>
    <t>gee*****</t>
  </si>
  <si>
    <t>20251127018215220</t>
  </si>
  <si>
    <t>name-4214224530</t>
  </si>
  <si>
    <t>lsi********</t>
  </si>
  <si>
    <t>색상:블랙-2개</t>
  </si>
  <si>
    <t>이든컴퍼니</t>
  </si>
  <si>
    <t>jwj*****</t>
  </si>
  <si>
    <t>20251127018238439</t>
  </si>
  <si>
    <t>name-1524814802</t>
  </si>
  <si>
    <t>lth***</t>
  </si>
  <si>
    <t>20251127018240385</t>
  </si>
  <si>
    <t>name-1909772121</t>
  </si>
  <si>
    <t>lee******</t>
  </si>
  <si>
    <t>워치호환/색상:갤럭시워치/화이트-1개</t>
  </si>
  <si>
    <t>20251127018241107</t>
  </si>
  <si>
    <t>name-977560894</t>
  </si>
  <si>
    <t>rlw*********</t>
  </si>
  <si>
    <t>20251127018264706</t>
  </si>
  <si>
    <t>신다솜</t>
  </si>
  <si>
    <t>jca*****</t>
  </si>
  <si>
    <t>20251127018278665</t>
  </si>
  <si>
    <t>name-2669505521</t>
  </si>
  <si>
    <t>won****</t>
  </si>
  <si>
    <t>호환모델/색상:애플전용/화이트,초고속충전어댑터 색상:화이트-2개</t>
  </si>
  <si>
    <t>20251127018371271</t>
  </si>
  <si>
    <t>서하늘</t>
  </si>
  <si>
    <t>psy***</t>
  </si>
  <si>
    <t>20251128018429855</t>
  </si>
  <si>
    <t>name-3139483967</t>
  </si>
  <si>
    <t>S|1****************</t>
  </si>
  <si>
    <t>20251128018450484</t>
  </si>
  <si>
    <t>name-1672635878</t>
  </si>
  <si>
    <t>cec****</t>
  </si>
  <si>
    <t>20251128018467448</t>
  </si>
  <si>
    <t>name-2858621002</t>
  </si>
  <si>
    <t>you***********</t>
  </si>
  <si>
    <t>컬러:라이트그레이-1개</t>
  </si>
  <si>
    <t>20251128018472980</t>
  </si>
  <si>
    <t>name-2857620068</t>
  </si>
  <si>
    <t>poh******</t>
  </si>
  <si>
    <t>20251128018505736</t>
  </si>
  <si>
    <t>박가온</t>
  </si>
  <si>
    <t>136****************</t>
  </si>
  <si>
    <t>20251105010571080</t>
  </si>
  <si>
    <t>클레임진행중</t>
  </si>
  <si>
    <t>이온새</t>
  </si>
  <si>
    <t>bad*********</t>
  </si>
  <si>
    <t>20251120016362369</t>
  </si>
  <si>
    <t>신아름</t>
  </si>
  <si>
    <t>mrw*****</t>
  </si>
  <si>
    <t>20251124017402532</t>
  </si>
  <si>
    <t>김한별</t>
  </si>
  <si>
    <t>nav****</t>
  </si>
  <si>
    <t>20251125017692990</t>
  </si>
  <si>
    <t>오초록</t>
  </si>
  <si>
    <t>sk4***************</t>
  </si>
  <si>
    <t>평균 노출순위</t>
  </si>
  <si>
    <t>평균 클릭비용</t>
  </si>
  <si>
    <t>총 전환수</t>
  </si>
  <si>
    <t>총 전환당 비용</t>
  </si>
  <si>
    <t>총 전환 금액</t>
  </si>
  <si>
    <t>총 전환율</t>
  </si>
  <si>
    <t>총 광고수익률</t>
  </si>
  <si>
    <t>직접 전환수</t>
  </si>
  <si>
    <t>직접 전환율</t>
  </si>
  <si>
    <t>직접 전환금액</t>
  </si>
  <si>
    <t>직접 전환당 비용</t>
  </si>
  <si>
    <t>직접 광고 수익률</t>
  </si>
  <si>
    <t>간접 전환수</t>
  </si>
  <si>
    <t>간접 전환율</t>
  </si>
  <si>
    <t>간접 전환 금액</t>
  </si>
  <si>
    <t>간접 전환당 비용</t>
  </si>
  <si>
    <t>간접 광고수익률</t>
  </si>
  <si>
    <t>장바구니 전환수</t>
  </si>
  <si>
    <t>장바구니 전환율</t>
  </si>
  <si>
    <t>장바구니 전환 금액</t>
  </si>
  <si>
    <t>장바구니 전환당 비용</t>
  </si>
  <si>
    <t>장바구니 광고수익률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</si>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</sst>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yyyy-mm-dd"/>
    <numFmt numFmtId="166" formatCode="yyyy&quot;. &quot;mm&quot;. &quot;dd"/>
    <numFmt numFmtId="167" formatCode="yyyy-mm-dd h:mm:ss"/>
    <numFmt numFmtId="168" formatCode="yyyy/m/d"/>
    <numFmt numFmtId="169" formatCode="yyyy/mm/dd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  <font>
      <b/>
      <sz val="9.0"/>
      <color theme="1"/>
      <name val="돋움"/>
    </font>
    <font>
      <sz val="9.0"/>
      <color theme="1"/>
      <name val="돋움"/>
    </font>
    <font>
      <sz val="9.0"/>
      <color theme="1"/>
      <name val="Arial"/>
    </font>
    <font>
      <color theme="1"/>
      <name val="굴림"/>
    </font>
    <font>
      <color theme="1"/>
      <name val="Arial"/>
    </font>
    <font>
      <sz val="10.0"/>
      <color rgb="FF000000"/>
      <name val="Malgun Gothic"/>
    </font>
    <font>
      <sz val="11.0"/>
      <color rgb="FF000000"/>
      <name val="맑은 고딕"/>
    </font>
    <font>
      <sz val="10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0" fillId="3" fontId="3" numFmtId="3" xfId="0" applyFont="1" applyNumberFormat="1"/>
    <xf borderId="0" fillId="3" fontId="3" numFmtId="164" xfId="0" applyFont="1" applyNumberFormat="1"/>
    <xf borderId="0" fillId="4" fontId="3" numFmtId="165" xfId="0" applyAlignment="1" applyFill="1" applyFont="1" applyNumberFormat="1">
      <alignment readingOrder="0"/>
    </xf>
    <xf borderId="0" fillId="0" fontId="4" numFmtId="3" xfId="0" applyFont="1" applyNumberFormat="1"/>
    <xf borderId="0" fillId="0" fontId="4" numFmtId="164" xfId="0" applyFont="1" applyNumberFormat="1"/>
    <xf borderId="0" fillId="0" fontId="4" numFmtId="165" xfId="0" applyAlignment="1" applyFont="1" applyNumberFormat="1">
      <alignment readingOrder="0"/>
    </xf>
    <xf borderId="0" fillId="5" fontId="3" numFmtId="164" xfId="0" applyFill="1" applyFont="1" applyNumberFormat="1"/>
    <xf borderId="0" fillId="0" fontId="4" numFmtId="10" xfId="0" applyFont="1" applyNumberForma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4" numFmtId="166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167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5" numFmtId="167" xfId="0" applyAlignment="1" applyFont="1" applyNumberFormat="1">
      <alignment shrinkToFit="0" wrapText="0"/>
    </xf>
    <xf borderId="1" fillId="6" fontId="6" numFmtId="0" xfId="0" applyAlignment="1" applyBorder="1" applyFill="1" applyFont="1">
      <alignment horizontal="center" readingOrder="0" shrinkToFit="0" wrapText="0"/>
    </xf>
    <xf borderId="2" fillId="6" fontId="6" numFmtId="0" xfId="0" applyAlignment="1" applyBorder="1" applyFont="1">
      <alignment horizontal="center" readingOrder="0" shrinkToFit="0" wrapText="0"/>
    </xf>
    <xf borderId="3" fillId="6" fontId="6" numFmtId="0" xfId="0" applyAlignment="1" applyBorder="1" applyFont="1">
      <alignment horizontal="center" readingOrder="0" shrinkToFit="0" wrapText="0"/>
    </xf>
    <xf borderId="0" fillId="0" fontId="7" numFmtId="165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4" numFmtId="3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7" numFmtId="165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3" xfId="0" applyAlignment="1" applyFont="1" applyNumberFormat="1">
      <alignment readingOrder="0" shrinkToFit="0" vertical="bottom" wrapText="0"/>
    </xf>
    <xf borderId="0" fillId="0" fontId="7" numFmtId="10" xfId="0" applyAlignment="1" applyFont="1" applyNumberFormat="1">
      <alignment readingOrder="0" shrinkToFit="0" vertical="bottom" wrapText="0"/>
    </xf>
    <xf borderId="0" fillId="0" fontId="8" numFmtId="3" xfId="0" applyAlignment="1" applyFont="1" applyNumberForma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3" fontId="9" numFmtId="0" xfId="0" applyAlignment="1" applyFont="1">
      <alignment horizontal="center" readingOrder="0" shrinkToFit="0" wrapText="0"/>
    </xf>
    <xf borderId="4" fillId="3" fontId="9" numFmtId="0" xfId="0" applyAlignment="1" applyBorder="1" applyFont="1">
      <alignment horizontal="center" readingOrder="0" shrinkToFit="0" wrapText="0"/>
    </xf>
    <xf borderId="0" fillId="3" fontId="10" numFmtId="166" xfId="0" applyAlignment="1" applyFont="1" applyNumberFormat="1">
      <alignment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166" xfId="0" applyAlignment="1" applyBorder="1" applyFont="1" applyNumberFormat="1">
      <alignment readingOrder="0" shrinkToFit="0" vertical="bottom" wrapText="0"/>
    </xf>
    <xf borderId="4" fillId="0" fontId="10" numFmtId="168" xfId="0" applyAlignment="1" applyBorder="1" applyFont="1" applyNumberFormat="1">
      <alignment readingOrder="0" shrinkToFit="0" vertical="bottom" wrapText="0"/>
    </xf>
    <xf borderId="4" fillId="0" fontId="10" numFmtId="10" xfId="0" applyAlignment="1" applyBorder="1" applyFont="1" applyNumberFormat="1">
      <alignment readingOrder="0" shrinkToFit="0" vertical="bottom" wrapText="0"/>
    </xf>
    <xf borderId="4" fillId="0" fontId="10" numFmtId="3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4" fillId="0" fontId="10" numFmtId="169" xfId="0" applyAlignment="1" applyBorder="1" applyFont="1" applyNumberFormat="1">
      <alignment readingOrder="0" shrinkToFit="0" vertical="bottom" wrapText="0"/>
    </xf>
    <xf borderId="4" fillId="0" fontId="10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readingOrder="0" shrinkToFit="0" wrapText="0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7" width="15.63"/>
  </cols>
  <sheetData>
    <row r="1">
      <c r="A1" s="1" t="s">
        <v>0</v>
      </c>
    </row>
    <row r="2" ht="40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 t="s">
        <v>10</v>
      </c>
      <c r="B3" s="4">
        <f t="shared" ref="B3:D3" si="1">sum(B4:B33)</f>
        <v>3189736</v>
      </c>
      <c r="C3" s="4">
        <f t="shared" si="1"/>
        <v>435</v>
      </c>
      <c r="D3" s="4">
        <f t="shared" si="1"/>
        <v>26271600</v>
      </c>
      <c r="E3" s="5">
        <f t="shared" ref="E3:E34" si="3">iferror(D3/B3,0)</f>
        <v>8.23629291</v>
      </c>
      <c r="F3" s="4">
        <f t="shared" ref="F3:H3" si="2">sum(F4:F33)</f>
        <v>38761400</v>
      </c>
      <c r="G3" s="4">
        <f t="shared" si="2"/>
        <v>3674800</v>
      </c>
      <c r="H3" s="4">
        <f t="shared" si="2"/>
        <v>35086600</v>
      </c>
      <c r="I3" s="5">
        <f t="shared" ref="I3:I34" si="4">iferror(H3/B3,0)</f>
        <v>10.9998445</v>
      </c>
    </row>
    <row r="4">
      <c r="A4" s="6">
        <v>45962.0</v>
      </c>
      <c r="B4" s="7">
        <f>sum(sumifs('파워클릭 raw'!$G:$G,'파워클릭 raw'!$A:$A,$A4),sumifs('Ai매출업 raw'!$D:$D,'Ai매출업 raw'!$A:$A,$A4))</f>
        <v>150953</v>
      </c>
      <c r="C4" s="7">
        <f>sum(sumifs('파워클릭 raw'!$H:$H,'파워클릭 raw'!$A:$A,$A4),sumifs('Ai매출업 raw'!$I:$I,'Ai매출업 raw'!$A:$A,$A4))</f>
        <v>24</v>
      </c>
      <c r="D4" s="7">
        <f>sum(sumifs('파워클릭 raw'!$I:$I,'파워클릭 raw'!$A:$A,$A4),sumifs('Ai매출업 raw'!$J:$J,'Ai매출업 raw'!$A:$A,$A4))</f>
        <v>1295400</v>
      </c>
      <c r="E4" s="8">
        <f t="shared" si="3"/>
        <v>8.581479003</v>
      </c>
      <c r="F4" s="7">
        <f>sumifs('매출정리 raw'!$J:$J,'매출정리 raw'!$A:$A,$A4)</f>
        <v>2015300</v>
      </c>
      <c r="G4" s="7">
        <f>sum(sumifs('매출정리 raw'!$J:$J,'매출정리 raw'!$A:$A,$A4,'매출정리 raw'!$B:$B,"취소완료"),sumifs('매출정리 raw'!$J:$J,'매출정리 raw'!$A:$A,$A4,'매출정리 raw'!$B:$B,"환불완료"),sumifs('매출정리 raw'!$J:$J,'매출정리 raw'!$A:$A,$A4,'매출정리 raw'!$B:$B,"반품완료"),sumifs('매출정리 raw'!$J:$J,'매출정리 raw'!$A:$A,$A4,'매출정리 raw'!$B:$B,"반품요청"),sumifs('매출정리 raw'!$J:$J,'매출정리 raw'!$A:$A,$A4,'매출정리 raw'!$B:$B,"환불요청"),sumifs('매출정리 raw'!$J:$J,'매출정리 raw'!$A:$A,$A4,'매출정리 raw'!$B:$B,"취소요청"))</f>
        <v>261500</v>
      </c>
      <c r="H4" s="7">
        <f t="shared" ref="H4:H34" si="5">F4-G4</f>
        <v>1753800</v>
      </c>
      <c r="I4" s="8">
        <f t="shared" si="4"/>
        <v>11.61818579</v>
      </c>
    </row>
    <row r="5">
      <c r="A5" s="9">
        <f t="shared" ref="A5:A34" si="6">A4+1</f>
        <v>45963</v>
      </c>
      <c r="B5" s="7">
        <f>sum(sumifs('파워클릭 raw'!$G:$G,'파워클릭 raw'!$A:$A,$A5),sumifs('Ai매출업 raw'!$D:$D,'Ai매출업 raw'!$A:$A,$A5))</f>
        <v>146058</v>
      </c>
      <c r="C5" s="7">
        <f>sum(sumifs('파워클릭 raw'!$H:$H,'파워클릭 raw'!$A:$A,$A5),sumifs('Ai매출업 raw'!$I:$I,'Ai매출업 raw'!$A:$A,$A5))</f>
        <v>29</v>
      </c>
      <c r="D5" s="7">
        <f>sum(sumifs('파워클릭 raw'!$I:$I,'파워클릭 raw'!$A:$A,$A5),sumifs('Ai매출업 raw'!$J:$J,'Ai매출업 raw'!$A:$A,$A5))</f>
        <v>1681200</v>
      </c>
      <c r="E5" s="8">
        <f t="shared" si="3"/>
        <v>11.51049583</v>
      </c>
      <c r="F5" s="7">
        <f>sumifs('매출정리 raw'!$J:$J,'매출정리 raw'!$A:$A,$A5)</f>
        <v>2641700</v>
      </c>
      <c r="G5" s="7">
        <f>sum(sumifs('매출정리 raw'!$J:$J,'매출정리 raw'!$A:$A,$A5,'매출정리 raw'!$B:$B,"취소완료"),sumifs('매출정리 raw'!$J:$J,'매출정리 raw'!$A:$A,$A5,'매출정리 raw'!$B:$B,"환불완료"),sumifs('매출정리 raw'!$J:$J,'매출정리 raw'!$A:$A,$A5,'매출정리 raw'!$B:$B,"반품완료"),sumifs('매출정리 raw'!$J:$J,'매출정리 raw'!$A:$A,$A5,'매출정리 raw'!$B:$B,"반품요청"),sumifs('매출정리 raw'!$J:$J,'매출정리 raw'!$A:$A,$A5,'매출정리 raw'!$B:$B,"환불요청"),sumifs('매출정리 raw'!$J:$J,'매출정리 raw'!$A:$A,$A5,'매출정리 raw'!$B:$B,"취소요청"))</f>
        <v>525000</v>
      </c>
      <c r="H5" s="7">
        <f t="shared" si="5"/>
        <v>2116700</v>
      </c>
      <c r="I5" s="8">
        <f t="shared" si="4"/>
        <v>14.49218803</v>
      </c>
    </row>
    <row r="6">
      <c r="A6" s="9">
        <f t="shared" si="6"/>
        <v>45964</v>
      </c>
      <c r="B6" s="7">
        <f>sum(sumifs('파워클릭 raw'!$G:$G,'파워클릭 raw'!$A:$A,$A6),sumifs('Ai매출업 raw'!$D:$D,'Ai매출업 raw'!$A:$A,$A6))</f>
        <v>133749</v>
      </c>
      <c r="C6" s="7">
        <f>sum(sumifs('파워클릭 raw'!$H:$H,'파워클릭 raw'!$A:$A,$A6),sumifs('Ai매출업 raw'!$I:$I,'Ai매출업 raw'!$A:$A,$A6))</f>
        <v>34</v>
      </c>
      <c r="D6" s="7">
        <f>sum(sumifs('파워클릭 raw'!$I:$I,'파워클릭 raw'!$A:$A,$A6),sumifs('Ai매출업 raw'!$J:$J,'Ai매출업 raw'!$A:$A,$A6))</f>
        <v>2083800</v>
      </c>
      <c r="E6" s="8">
        <f t="shared" si="3"/>
        <v>15.57992957</v>
      </c>
      <c r="F6" s="7">
        <f>sumifs('매출정리 raw'!$J:$J,'매출정리 raw'!$A:$A,$A6)</f>
        <v>2878000</v>
      </c>
      <c r="G6" s="7">
        <f>sum(sumifs('매출정리 raw'!$J:$J,'매출정리 raw'!$A:$A,$A6,'매출정리 raw'!$B:$B,"취소완료"),sumifs('매출정리 raw'!$J:$J,'매출정리 raw'!$A:$A,$A6,'매출정리 raw'!$B:$B,"환불완료"),sumifs('매출정리 raw'!$J:$J,'매출정리 raw'!$A:$A,$A6,'매출정리 raw'!$B:$B,"반품완료"),sumifs('매출정리 raw'!$J:$J,'매출정리 raw'!$A:$A,$A6,'매출정리 raw'!$B:$B,"반품요청"),sumifs('매출정리 raw'!$J:$J,'매출정리 raw'!$A:$A,$A6,'매출정리 raw'!$B:$B,"환불요청"),sumifs('매출정리 raw'!$J:$J,'매출정리 raw'!$A:$A,$A6,'매출정리 raw'!$B:$B,"취소요청"))</f>
        <v>465400</v>
      </c>
      <c r="H6" s="7">
        <f t="shared" si="5"/>
        <v>2412600</v>
      </c>
      <c r="I6" s="8">
        <f t="shared" si="4"/>
        <v>18.03826571</v>
      </c>
    </row>
    <row r="7">
      <c r="A7" s="9">
        <f t="shared" si="6"/>
        <v>45965</v>
      </c>
      <c r="B7" s="7">
        <f>sum(sumifs('파워클릭 raw'!$G:$G,'파워클릭 raw'!$A:$A,$A7),sumifs('Ai매출업 raw'!$D:$D,'Ai매출업 raw'!$A:$A,$A7))</f>
        <v>117689</v>
      </c>
      <c r="C7" s="7">
        <f>sum(sumifs('파워클릭 raw'!$H:$H,'파워클릭 raw'!$A:$A,$A7),sumifs('Ai매출업 raw'!$I:$I,'Ai매출업 raw'!$A:$A,$A7))</f>
        <v>17</v>
      </c>
      <c r="D7" s="7">
        <f>sum(sumifs('파워클릭 raw'!$I:$I,'파워클릭 raw'!$A:$A,$A7),sumifs('Ai매출업 raw'!$J:$J,'Ai매출업 raw'!$A:$A,$A7))</f>
        <v>1018500</v>
      </c>
      <c r="E7" s="8">
        <f t="shared" si="3"/>
        <v>8.65416479</v>
      </c>
      <c r="F7" s="7">
        <f>sumifs('매출정리 raw'!$J:$J,'매출정리 raw'!$A:$A,$A7)</f>
        <v>2281500</v>
      </c>
      <c r="G7" s="7">
        <f>sum(sumifs('매출정리 raw'!$J:$J,'매출정리 raw'!$A:$A,$A7,'매출정리 raw'!$B:$B,"취소완료"),sumifs('매출정리 raw'!$J:$J,'매출정리 raw'!$A:$A,$A7,'매출정리 raw'!$B:$B,"환불완료"),sumifs('매출정리 raw'!$J:$J,'매출정리 raw'!$A:$A,$A7,'매출정리 raw'!$B:$B,"반품완료"),sumifs('매출정리 raw'!$J:$J,'매출정리 raw'!$A:$A,$A7,'매출정리 raw'!$B:$B,"반품요청"),sumifs('매출정리 raw'!$J:$J,'매출정리 raw'!$A:$A,$A7,'매출정리 raw'!$B:$B,"환불요청"),sumifs('매출정리 raw'!$J:$J,'매출정리 raw'!$A:$A,$A7,'매출정리 raw'!$B:$B,"취소요청"))</f>
        <v>313000</v>
      </c>
      <c r="H7" s="7">
        <f t="shared" si="5"/>
        <v>1968500</v>
      </c>
      <c r="I7" s="8">
        <f t="shared" si="4"/>
        <v>16.72628708</v>
      </c>
    </row>
    <row r="8">
      <c r="A8" s="9">
        <f t="shared" si="6"/>
        <v>45966</v>
      </c>
      <c r="B8" s="7">
        <f>sum(sumifs('파워클릭 raw'!$G:$G,'파워클릭 raw'!$A:$A,$A8),sumifs('Ai매출업 raw'!$D:$D,'Ai매출업 raw'!$A:$A,$A8))</f>
        <v>104544</v>
      </c>
      <c r="C8" s="7">
        <f>sum(sumifs('파워클릭 raw'!$H:$H,'파워클릭 raw'!$A:$A,$A8),sumifs('Ai매출업 raw'!$I:$I,'Ai매출업 raw'!$A:$A,$A8))</f>
        <v>21</v>
      </c>
      <c r="D8" s="7">
        <f>sum(sumifs('파워클릭 raw'!$I:$I,'파워클릭 raw'!$A:$A,$A8),sumifs('Ai매출업 raw'!$J:$J,'Ai매출업 raw'!$A:$A,$A8))</f>
        <v>1222800</v>
      </c>
      <c r="E8" s="8">
        <f t="shared" si="3"/>
        <v>11.69651056</v>
      </c>
      <c r="F8" s="7">
        <f>sumifs('매출정리 raw'!$J:$J,'매출정리 raw'!$A:$A,$A8)</f>
        <v>1574800</v>
      </c>
      <c r="G8" s="7">
        <f>sum(sumifs('매출정리 raw'!$J:$J,'매출정리 raw'!$A:$A,$A8,'매출정리 raw'!$B:$B,"취소완료"),sumifs('매출정리 raw'!$J:$J,'매출정리 raw'!$A:$A,$A8,'매출정리 raw'!$B:$B,"환불완료"),sumifs('매출정리 raw'!$J:$J,'매출정리 raw'!$A:$A,$A8,'매출정리 raw'!$B:$B,"반품완료"),sumifs('매출정리 raw'!$J:$J,'매출정리 raw'!$A:$A,$A8,'매출정리 raw'!$B:$B,"반품요청"),sumifs('매출정리 raw'!$J:$J,'매출정리 raw'!$A:$A,$A8,'매출정리 raw'!$B:$B,"환불요청"),sumifs('매출정리 raw'!$J:$J,'매출정리 raw'!$A:$A,$A8,'매출정리 raw'!$B:$B,"취소요청"))</f>
        <v>0</v>
      </c>
      <c r="H8" s="7">
        <f t="shared" si="5"/>
        <v>1574800</v>
      </c>
      <c r="I8" s="8">
        <f t="shared" si="4"/>
        <v>15.06351393</v>
      </c>
    </row>
    <row r="9">
      <c r="A9" s="9">
        <f t="shared" si="6"/>
        <v>45967</v>
      </c>
      <c r="B9" s="7">
        <f>sum(sumifs('파워클릭 raw'!$G:$G,'파워클릭 raw'!$A:$A,$A9),sumifs('Ai매출업 raw'!$D:$D,'Ai매출업 raw'!$A:$A,$A9))</f>
        <v>126720</v>
      </c>
      <c r="C9" s="7">
        <f>sum(sumifs('파워클릭 raw'!$H:$H,'파워클릭 raw'!$A:$A,$A9),sumifs('Ai매출업 raw'!$I:$I,'Ai매출업 raw'!$A:$A,$A9))</f>
        <v>44</v>
      </c>
      <c r="D9" s="7">
        <f>sum(sumifs('파워클릭 raw'!$I:$I,'파워클릭 raw'!$A:$A,$A9),sumifs('Ai매출업 raw'!$J:$J,'Ai매출업 raw'!$A:$A,$A9))</f>
        <v>2752900</v>
      </c>
      <c r="E9" s="8">
        <f t="shared" si="3"/>
        <v>21.72427399</v>
      </c>
      <c r="F9" s="7">
        <f>sumifs('매출정리 raw'!$J:$J,'매출정리 raw'!$A:$A,$A9)</f>
        <v>3453900</v>
      </c>
      <c r="G9" s="7">
        <f>sum(sumifs('매출정리 raw'!$J:$J,'매출정리 raw'!$A:$A,$A9,'매출정리 raw'!$B:$B,"취소완료"),sumifs('매출정리 raw'!$J:$J,'매출정리 raw'!$A:$A,$A9,'매출정리 raw'!$B:$B,"환불완료"),sumifs('매출정리 raw'!$J:$J,'매출정리 raw'!$A:$A,$A9,'매출정리 raw'!$B:$B,"반품완료"),sumifs('매출정리 raw'!$J:$J,'매출정리 raw'!$A:$A,$A9,'매출정리 raw'!$B:$B,"반품요청"),sumifs('매출정리 raw'!$J:$J,'매출정리 raw'!$A:$A,$A9,'매출정리 raw'!$B:$B,"환불요청"),sumifs('매출정리 raw'!$J:$J,'매출정리 raw'!$A:$A,$A9,'매출정리 raw'!$B:$B,"취소요청"))</f>
        <v>189000</v>
      </c>
      <c r="H9" s="7">
        <f t="shared" si="5"/>
        <v>3264900</v>
      </c>
      <c r="I9" s="8">
        <f t="shared" si="4"/>
        <v>25.76467803</v>
      </c>
    </row>
    <row r="10">
      <c r="A10" s="9">
        <f t="shared" si="6"/>
        <v>45968</v>
      </c>
      <c r="B10" s="7">
        <f>sum(sumifs('파워클릭 raw'!$G:$G,'파워클릭 raw'!$A:$A,$A10),sumifs('Ai매출업 raw'!$D:$D,'Ai매출업 raw'!$A:$A,$A10))</f>
        <v>123750</v>
      </c>
      <c r="C10" s="7">
        <f>sum(sumifs('파워클릭 raw'!$H:$H,'파워클릭 raw'!$A:$A,$A10),sumifs('Ai매출업 raw'!$I:$I,'Ai매출업 raw'!$A:$A,$A10))</f>
        <v>16</v>
      </c>
      <c r="D10" s="7">
        <f>sum(sumifs('파워클릭 raw'!$I:$I,'파워클릭 raw'!$A:$A,$A10),sumifs('Ai매출업 raw'!$J:$J,'Ai매출업 raw'!$A:$A,$A10))</f>
        <v>987200</v>
      </c>
      <c r="E10" s="8">
        <f t="shared" si="3"/>
        <v>7.977373737</v>
      </c>
      <c r="F10" s="7">
        <f>sumifs('매출정리 raw'!$J:$J,'매출정리 raw'!$A:$A,$A10)</f>
        <v>1225300</v>
      </c>
      <c r="G10" s="7">
        <f>sum(sumifs('매출정리 raw'!$J:$J,'매출정리 raw'!$A:$A,$A10,'매출정리 raw'!$B:$B,"취소완료"),sumifs('매출정리 raw'!$J:$J,'매출정리 raw'!$A:$A,$A10,'매출정리 raw'!$B:$B,"환불완료"),sumifs('매출정리 raw'!$J:$J,'매출정리 raw'!$A:$A,$A10,'매출정리 raw'!$B:$B,"반품완료"),sumifs('매출정리 raw'!$J:$J,'매출정리 raw'!$A:$A,$A10,'매출정리 raw'!$B:$B,"반품요청"),sumifs('매출정리 raw'!$J:$J,'매출정리 raw'!$A:$A,$A10,'매출정리 raw'!$B:$B,"환불요청"),sumifs('매출정리 raw'!$J:$J,'매출정리 raw'!$A:$A,$A10,'매출정리 raw'!$B:$B,"취소요청"))</f>
        <v>0</v>
      </c>
      <c r="H10" s="7">
        <f t="shared" si="5"/>
        <v>1225300</v>
      </c>
      <c r="I10" s="8">
        <f t="shared" si="4"/>
        <v>9.901414141</v>
      </c>
    </row>
    <row r="11">
      <c r="A11" s="9">
        <f t="shared" si="6"/>
        <v>45969</v>
      </c>
      <c r="B11" s="7">
        <f>sum(sumifs('파워클릭 raw'!$G:$G,'파워클릭 raw'!$A:$A,$A11),sumifs('Ai매출업 raw'!$D:$D,'Ai매출업 raw'!$A:$A,$A11))</f>
        <v>139513</v>
      </c>
      <c r="C11" s="7">
        <f>sum(sumifs('파워클릭 raw'!$H:$H,'파워클릭 raw'!$A:$A,$A11),sumifs('Ai매출업 raw'!$I:$I,'Ai매출업 raw'!$A:$A,$A11))</f>
        <v>29</v>
      </c>
      <c r="D11" s="7">
        <f>sum(sumifs('파워클릭 raw'!$I:$I,'파워클릭 raw'!$A:$A,$A11),sumifs('Ai매출업 raw'!$J:$J,'Ai매출업 raw'!$A:$A,$A11))</f>
        <v>2030600</v>
      </c>
      <c r="E11" s="8">
        <f t="shared" si="3"/>
        <v>14.55491603</v>
      </c>
      <c r="F11" s="7">
        <f>sumifs('매출정리 raw'!$J:$J,'매출정리 raw'!$A:$A,$A11)</f>
        <v>1821600</v>
      </c>
      <c r="G11" s="7">
        <f>sum(sumifs('매출정리 raw'!$J:$J,'매출정리 raw'!$A:$A,$A11,'매출정리 raw'!$B:$B,"취소완료"),sumifs('매출정리 raw'!$J:$J,'매출정리 raw'!$A:$A,$A11,'매출정리 raw'!$B:$B,"환불완료"),sumifs('매출정리 raw'!$J:$J,'매출정리 raw'!$A:$A,$A11,'매출정리 raw'!$B:$B,"반품완료"),sumifs('매출정리 raw'!$J:$J,'매출정리 raw'!$A:$A,$A11,'매출정리 raw'!$B:$B,"반품요청"),sumifs('매출정리 raw'!$J:$J,'매출정리 raw'!$A:$A,$A11,'매출정리 raw'!$B:$B,"환불요청"),sumifs('매출정리 raw'!$J:$J,'매출정리 raw'!$A:$A,$A11,'매출정리 raw'!$B:$B,"취소요청"))</f>
        <v>24900</v>
      </c>
      <c r="H11" s="7">
        <f t="shared" si="5"/>
        <v>1796700</v>
      </c>
      <c r="I11" s="8">
        <f t="shared" si="4"/>
        <v>12.87836976</v>
      </c>
    </row>
    <row r="12">
      <c r="A12" s="9">
        <f t="shared" si="6"/>
        <v>45970</v>
      </c>
      <c r="B12" s="7">
        <f>sum(sumifs('파워클릭 raw'!$G:$G,'파워클릭 raw'!$A:$A,$A12),sumifs('Ai매출업 raw'!$D:$D,'Ai매출업 raw'!$A:$A,$A12))</f>
        <v>170841</v>
      </c>
      <c r="C12" s="7">
        <f>sum(sumifs('파워클릭 raw'!$H:$H,'파워클릭 raw'!$A:$A,$A12),sumifs('Ai매출업 raw'!$I:$I,'Ai매출업 raw'!$A:$A,$A12))</f>
        <v>18</v>
      </c>
      <c r="D12" s="7">
        <f>sum(sumifs('파워클릭 raw'!$I:$I,'파워클릭 raw'!$A:$A,$A12),sumifs('Ai매출업 raw'!$J:$J,'Ai매출업 raw'!$A:$A,$A12))</f>
        <v>1196300</v>
      </c>
      <c r="E12" s="8">
        <f t="shared" si="3"/>
        <v>7.002417452</v>
      </c>
      <c r="F12" s="7">
        <f>sumifs('매출정리 raw'!$J:$J,'매출정리 raw'!$A:$A,$A12)</f>
        <v>2009200</v>
      </c>
      <c r="G12" s="7">
        <f>sum(sumifs('매출정리 raw'!$J:$J,'매출정리 raw'!$A:$A,$A12,'매출정리 raw'!$B:$B,"취소완료"),sumifs('매출정리 raw'!$J:$J,'매출정리 raw'!$A:$A,$A12,'매출정리 raw'!$B:$B,"환불완료"),sumifs('매출정리 raw'!$J:$J,'매출정리 raw'!$A:$A,$A12,'매출정리 raw'!$B:$B,"반품완료"),sumifs('매출정리 raw'!$J:$J,'매출정리 raw'!$A:$A,$A12,'매출정리 raw'!$B:$B,"반품요청"),sumifs('매출정리 raw'!$J:$J,'매출정리 raw'!$A:$A,$A12,'매출정리 raw'!$B:$B,"환불요청"),sumifs('매출정리 raw'!$J:$J,'매출정리 raw'!$A:$A,$A12,'매출정리 raw'!$B:$B,"취소요청"))</f>
        <v>237000</v>
      </c>
      <c r="H12" s="7">
        <f t="shared" si="5"/>
        <v>1772200</v>
      </c>
      <c r="I12" s="8">
        <f t="shared" si="4"/>
        <v>10.37338812</v>
      </c>
    </row>
    <row r="13">
      <c r="A13" s="9">
        <f t="shared" si="6"/>
        <v>45971</v>
      </c>
      <c r="B13" s="7">
        <f>sum(sumifs('파워클릭 raw'!$G:$G,'파워클릭 raw'!$A:$A,$A13),sumifs('Ai매출업 raw'!$D:$D,'Ai매출업 raw'!$A:$A,$A13))</f>
        <v>163361</v>
      </c>
      <c r="C13" s="7">
        <f>sum(sumifs('파워클릭 raw'!$H:$H,'파워클릭 raw'!$A:$A,$A13),sumifs('Ai매출업 raw'!$I:$I,'Ai매출업 raw'!$A:$A,$A13))</f>
        <v>29</v>
      </c>
      <c r="D13" s="7">
        <f>sum(sumifs('파워클릭 raw'!$I:$I,'파워클릭 raw'!$A:$A,$A13),sumifs('Ai매출업 raw'!$J:$J,'Ai매출업 raw'!$A:$A,$A13))</f>
        <v>1906600</v>
      </c>
      <c r="E13" s="8">
        <f t="shared" si="3"/>
        <v>11.67108429</v>
      </c>
      <c r="F13" s="7">
        <f>sumifs('매출정리 raw'!$J:$J,'매출정리 raw'!$A:$A,$A13)</f>
        <v>2791500</v>
      </c>
      <c r="G13" s="7">
        <f>sum(sumifs('매출정리 raw'!$J:$J,'매출정리 raw'!$A:$A,$A13,'매출정리 raw'!$B:$B,"취소완료"),sumifs('매출정리 raw'!$J:$J,'매출정리 raw'!$A:$A,$A13,'매출정리 raw'!$B:$B,"환불완료"),sumifs('매출정리 raw'!$J:$J,'매출정리 raw'!$A:$A,$A13,'매출정리 raw'!$B:$B,"반품완료"),sumifs('매출정리 raw'!$J:$J,'매출정리 raw'!$A:$A,$A13,'매출정리 raw'!$B:$B,"반품요청"),sumifs('매출정리 raw'!$J:$J,'매출정리 raw'!$A:$A,$A13,'매출정리 raw'!$B:$B,"환불요청"),sumifs('매출정리 raw'!$J:$J,'매출정리 raw'!$A:$A,$A13,'매출정리 raw'!$B:$B,"취소요청"))</f>
        <v>363000</v>
      </c>
      <c r="H13" s="7">
        <f t="shared" si="5"/>
        <v>2428500</v>
      </c>
      <c r="I13" s="8">
        <f t="shared" si="4"/>
        <v>14.86584925</v>
      </c>
    </row>
    <row r="14">
      <c r="A14" s="9">
        <f t="shared" si="6"/>
        <v>45972</v>
      </c>
      <c r="B14" s="7">
        <f>sum(sumifs('파워클릭 raw'!$G:$G,'파워클릭 raw'!$A:$A,$A14),sumifs('Ai매출업 raw'!$D:$D,'Ai매출업 raw'!$A:$A,$A14))</f>
        <v>175417</v>
      </c>
      <c r="C14" s="7">
        <f>sum(sumifs('파워클릭 raw'!$H:$H,'파워클릭 raw'!$A:$A,$A14),sumifs('Ai매출업 raw'!$I:$I,'Ai매출업 raw'!$A:$A,$A14))</f>
        <v>16</v>
      </c>
      <c r="D14" s="7">
        <f>sum(sumifs('파워클릭 raw'!$I:$I,'파워클릭 raw'!$A:$A,$A14),sumifs('Ai매출업 raw'!$J:$J,'Ai매출업 raw'!$A:$A,$A14))</f>
        <v>1100900</v>
      </c>
      <c r="E14" s="8">
        <f t="shared" si="3"/>
        <v>6.275902564</v>
      </c>
      <c r="F14" s="7">
        <f>sumifs('매출정리 raw'!$J:$J,'매출정리 raw'!$A:$A,$A14)</f>
        <v>1966300</v>
      </c>
      <c r="G14" s="7">
        <f>sum(sumifs('매출정리 raw'!$J:$J,'매출정리 raw'!$A:$A,$A14,'매출정리 raw'!$B:$B,"취소완료"),sumifs('매출정리 raw'!$J:$J,'매출정리 raw'!$A:$A,$A14,'매출정리 raw'!$B:$B,"환불완료"),sumifs('매출정리 raw'!$J:$J,'매출정리 raw'!$A:$A,$A14,'매출정리 raw'!$B:$B,"반품완료"),sumifs('매출정리 raw'!$J:$J,'매출정리 raw'!$A:$A,$A14,'매출정리 raw'!$B:$B,"반품요청"),sumifs('매출정리 raw'!$J:$J,'매출정리 raw'!$A:$A,$A14,'매출정리 raw'!$B:$B,"환불요청"),sumifs('매출정리 raw'!$J:$J,'매출정리 raw'!$A:$A,$A14,'매출정리 raw'!$B:$B,"취소요청"))</f>
        <v>59000</v>
      </c>
      <c r="H14" s="7">
        <f t="shared" si="5"/>
        <v>1907300</v>
      </c>
      <c r="I14" s="8">
        <f t="shared" si="4"/>
        <v>10.87294846</v>
      </c>
    </row>
    <row r="15">
      <c r="A15" s="9">
        <f t="shared" si="6"/>
        <v>45973</v>
      </c>
      <c r="B15" s="7">
        <f>sum(sumifs('파워클릭 raw'!$G:$G,'파워클릭 raw'!$A:$A,$A15),sumifs('Ai매출업 raw'!$D:$D,'Ai매출업 raw'!$A:$A,$A15))</f>
        <v>127204</v>
      </c>
      <c r="C15" s="7">
        <f>sum(sumifs('파워클릭 raw'!$H:$H,'파워클릭 raw'!$A:$A,$A15),sumifs('Ai매출업 raw'!$I:$I,'Ai매출업 raw'!$A:$A,$A15))</f>
        <v>10</v>
      </c>
      <c r="D15" s="7">
        <f>sum(sumifs('파워클릭 raw'!$I:$I,'파워클릭 raw'!$A:$A,$A15),sumifs('Ai매출업 raw'!$J:$J,'Ai매출업 raw'!$A:$A,$A15))</f>
        <v>563900</v>
      </c>
      <c r="E15" s="8">
        <f t="shared" si="3"/>
        <v>4.433036697</v>
      </c>
      <c r="F15" s="7">
        <f>sumifs('매출정리 raw'!$J:$J,'매출정리 raw'!$A:$A,$A15)</f>
        <v>911900</v>
      </c>
      <c r="G15" s="7">
        <f>sum(sumifs('매출정리 raw'!$J:$J,'매출정리 raw'!$A:$A,$A15,'매출정리 raw'!$B:$B,"취소완료"),sumifs('매출정리 raw'!$J:$J,'매출정리 raw'!$A:$A,$A15,'매출정리 raw'!$B:$B,"환불완료"),sumifs('매출정리 raw'!$J:$J,'매출정리 raw'!$A:$A,$A15,'매출정리 raw'!$B:$B,"반품완료"),sumifs('매출정리 raw'!$J:$J,'매출정리 raw'!$A:$A,$A15,'매출정리 raw'!$B:$B,"반품요청"),sumifs('매출정리 raw'!$J:$J,'매출정리 raw'!$A:$A,$A15,'매출정리 raw'!$B:$B,"환불요청"),sumifs('매출정리 raw'!$J:$J,'매출정리 raw'!$A:$A,$A15,'매출정리 raw'!$B:$B,"취소요청"))</f>
        <v>0</v>
      </c>
      <c r="H15" s="7">
        <f t="shared" si="5"/>
        <v>911900</v>
      </c>
      <c r="I15" s="8">
        <f t="shared" si="4"/>
        <v>7.168799723</v>
      </c>
    </row>
    <row r="16">
      <c r="A16" s="9">
        <f t="shared" si="6"/>
        <v>45974</v>
      </c>
      <c r="B16" s="7">
        <f>sum(sumifs('파워클릭 raw'!$G:$G,'파워클릭 raw'!$A:$A,$A16),sumifs('Ai매출업 raw'!$D:$D,'Ai매출업 raw'!$A:$A,$A16))</f>
        <v>91608</v>
      </c>
      <c r="C16" s="7">
        <f>sum(sumifs('파워클릭 raw'!$H:$H,'파워클릭 raw'!$A:$A,$A16),sumifs('Ai매출업 raw'!$I:$I,'Ai매출업 raw'!$A:$A,$A16))</f>
        <v>3</v>
      </c>
      <c r="D16" s="7">
        <f>sum(sumifs('파워클릭 raw'!$I:$I,'파워클릭 raw'!$A:$A,$A16),sumifs('Ai매출업 raw'!$J:$J,'Ai매출업 raw'!$A:$A,$A16))</f>
        <v>177000</v>
      </c>
      <c r="E16" s="8">
        <f t="shared" si="3"/>
        <v>1.932145664</v>
      </c>
      <c r="F16" s="7">
        <f>sumifs('매출정리 raw'!$J:$J,'매출정리 raw'!$A:$A,$A16)</f>
        <v>1592500</v>
      </c>
      <c r="G16" s="7">
        <f>sum(sumifs('매출정리 raw'!$J:$J,'매출정리 raw'!$A:$A,$A16,'매출정리 raw'!$B:$B,"취소완료"),sumifs('매출정리 raw'!$J:$J,'매출정리 raw'!$A:$A,$A16,'매출정리 raw'!$B:$B,"환불완료"),sumifs('매출정리 raw'!$J:$J,'매출정리 raw'!$A:$A,$A16,'매출정리 raw'!$B:$B,"반품완료"),sumifs('매출정리 raw'!$J:$J,'매출정리 raw'!$A:$A,$A16,'매출정리 raw'!$B:$B,"반품요청"),sumifs('매출정리 raw'!$J:$J,'매출정리 raw'!$A:$A,$A16,'매출정리 raw'!$B:$B,"환불요청"),sumifs('매출정리 raw'!$J:$J,'매출정리 raw'!$A:$A,$A16,'매출정리 raw'!$B:$B,"취소요청"))</f>
        <v>0</v>
      </c>
      <c r="H16" s="7">
        <f t="shared" si="5"/>
        <v>1592500</v>
      </c>
      <c r="I16" s="8">
        <f t="shared" si="4"/>
        <v>17.38385294</v>
      </c>
    </row>
    <row r="17">
      <c r="A17" s="9">
        <f t="shared" si="6"/>
        <v>45975</v>
      </c>
      <c r="B17" s="7">
        <f>sum(sumifs('파워클릭 raw'!$G:$G,'파워클릭 raw'!$A:$A,$A17),sumifs('Ai매출업 raw'!$D:$D,'Ai매출업 raw'!$A:$A,$A17))</f>
        <v>83369</v>
      </c>
      <c r="C17" s="7">
        <f>sum(sumifs('파워클릭 raw'!$H:$H,'파워클릭 raw'!$A:$A,$A17),sumifs('Ai매출업 raw'!$I:$I,'Ai매출업 raw'!$A:$A,$A17))</f>
        <v>7</v>
      </c>
      <c r="D17" s="7">
        <f>sum(sumifs('파워클릭 raw'!$I:$I,'파워클릭 raw'!$A:$A,$A17),sumifs('Ai매출업 raw'!$J:$J,'Ai매출업 raw'!$A:$A,$A17))</f>
        <v>413000</v>
      </c>
      <c r="E17" s="8">
        <f t="shared" si="3"/>
        <v>4.953879739</v>
      </c>
      <c r="F17" s="7">
        <f>sumifs('매출정리 raw'!$J:$J,'매출정리 raw'!$A:$A,$A17)</f>
        <v>645500</v>
      </c>
      <c r="G17" s="7">
        <f>sum(sumifs('매출정리 raw'!$J:$J,'매출정리 raw'!$A:$A,$A17,'매출정리 raw'!$B:$B,"취소완료"),sumifs('매출정리 raw'!$J:$J,'매출정리 raw'!$A:$A,$A17,'매출정리 raw'!$B:$B,"환불완료"),sumifs('매출정리 raw'!$J:$J,'매출정리 raw'!$A:$A,$A17,'매출정리 raw'!$B:$B,"반품완료"),sumifs('매출정리 raw'!$J:$J,'매출정리 raw'!$A:$A,$A17,'매출정리 raw'!$B:$B,"반품요청"),sumifs('매출정리 raw'!$J:$J,'매출정리 raw'!$A:$A,$A17,'매출정리 raw'!$B:$B,"환불요청"),sumifs('매출정리 raw'!$J:$J,'매출정리 raw'!$A:$A,$A17,'매출정리 raw'!$B:$B,"취소요청"))</f>
        <v>59000</v>
      </c>
      <c r="H17" s="7">
        <f t="shared" si="5"/>
        <v>586500</v>
      </c>
      <c r="I17" s="8">
        <f t="shared" si="4"/>
        <v>7.034989025</v>
      </c>
    </row>
    <row r="18">
      <c r="A18" s="9">
        <f t="shared" si="6"/>
        <v>45976</v>
      </c>
      <c r="B18" s="7">
        <f>sum(sumifs('파워클릭 raw'!$G:$G,'파워클릭 raw'!$A:$A,$A18),sumifs('Ai매출업 raw'!$D:$D,'Ai매출업 raw'!$A:$A,$A18))</f>
        <v>80542</v>
      </c>
      <c r="C18" s="7">
        <f>sum(sumifs('파워클릭 raw'!$H:$H,'파워클릭 raw'!$A:$A,$A18),sumifs('Ai매출업 raw'!$I:$I,'Ai매출업 raw'!$A:$A,$A18))</f>
        <v>4</v>
      </c>
      <c r="D18" s="7">
        <f>sum(sumifs('파워클릭 raw'!$I:$I,'파워클릭 raw'!$A:$A,$A18),sumifs('Ai매출업 raw'!$J:$J,'Ai매출업 raw'!$A:$A,$A18))</f>
        <v>236900</v>
      </c>
      <c r="E18" s="8">
        <f t="shared" si="3"/>
        <v>2.94132254</v>
      </c>
      <c r="F18" s="7">
        <f>sumifs('매출정리 raw'!$J:$J,'매출정리 raw'!$A:$A,$A18)</f>
        <v>538900</v>
      </c>
      <c r="G18" s="7">
        <f>sum(sumifs('매출정리 raw'!$J:$J,'매출정리 raw'!$A:$A,$A18,'매출정리 raw'!$B:$B,"취소완료"),sumifs('매출정리 raw'!$J:$J,'매출정리 raw'!$A:$A,$A18,'매출정리 raw'!$B:$B,"환불완료"),sumifs('매출정리 raw'!$J:$J,'매출정리 raw'!$A:$A,$A18,'매출정리 raw'!$B:$B,"반품완료"),sumifs('매출정리 raw'!$J:$J,'매출정리 raw'!$A:$A,$A18,'매출정리 raw'!$B:$B,"반품요청"),sumifs('매출정리 raw'!$J:$J,'매출정리 raw'!$A:$A,$A18,'매출정리 raw'!$B:$B,"환불요청"),sumifs('매출정리 raw'!$J:$J,'매출정리 raw'!$A:$A,$A18,'매출정리 raw'!$B:$B,"취소요청"))</f>
        <v>119000</v>
      </c>
      <c r="H18" s="7">
        <f t="shared" si="5"/>
        <v>419900</v>
      </c>
      <c r="I18" s="8">
        <f t="shared" si="4"/>
        <v>5.213429018</v>
      </c>
    </row>
    <row r="19">
      <c r="A19" s="9">
        <f t="shared" si="6"/>
        <v>45977</v>
      </c>
      <c r="B19" s="7">
        <f>sum(sumifs('파워클릭 raw'!$G:$G,'파워클릭 raw'!$A:$A,$A19),sumifs('Ai매출업 raw'!$D:$D,'Ai매출업 raw'!$A:$A,$A19))</f>
        <v>99979</v>
      </c>
      <c r="C19" s="7">
        <f>sum(sumifs('파워클릭 raw'!$H:$H,'파워클릭 raw'!$A:$A,$A19),sumifs('Ai매출업 raw'!$I:$I,'Ai매출업 raw'!$A:$A,$A19))</f>
        <v>9</v>
      </c>
      <c r="D19" s="7">
        <f>sum(sumifs('파워클릭 raw'!$I:$I,'파워클릭 raw'!$A:$A,$A19),sumifs('Ai매출업 raw'!$J:$J,'Ai매출업 raw'!$A:$A,$A19))</f>
        <v>542400</v>
      </c>
      <c r="E19" s="8">
        <f t="shared" si="3"/>
        <v>5.425139279</v>
      </c>
      <c r="F19" s="7">
        <f>sumifs('매출정리 raw'!$J:$J,'매출정리 raw'!$A:$A,$A19)</f>
        <v>740900</v>
      </c>
      <c r="G19" s="7">
        <f>sum(sumifs('매출정리 raw'!$J:$J,'매출정리 raw'!$A:$A,$A19,'매출정리 raw'!$B:$B,"취소완료"),sumifs('매출정리 raw'!$J:$J,'매출정리 raw'!$A:$A,$A19,'매출정리 raw'!$B:$B,"환불완료"),sumifs('매출정리 raw'!$J:$J,'매출정리 raw'!$A:$A,$A19,'매출정리 raw'!$B:$B,"반품완료"),sumifs('매출정리 raw'!$J:$J,'매출정리 raw'!$A:$A,$A19,'매출정리 raw'!$B:$B,"반품요청"),sumifs('매출정리 raw'!$J:$J,'매출정리 raw'!$A:$A,$A19,'매출정리 raw'!$B:$B,"환불요청"),sumifs('매출정리 raw'!$J:$J,'매출정리 raw'!$A:$A,$A19,'매출정리 raw'!$B:$B,"취소요청"))</f>
        <v>178000</v>
      </c>
      <c r="H19" s="7">
        <f t="shared" si="5"/>
        <v>562900</v>
      </c>
      <c r="I19" s="8">
        <f t="shared" si="4"/>
        <v>5.630182338</v>
      </c>
    </row>
    <row r="20">
      <c r="A20" s="9">
        <f t="shared" si="6"/>
        <v>45978</v>
      </c>
      <c r="B20" s="7">
        <f>sum(sumifs('파워클릭 raw'!$G:$G,'파워클릭 raw'!$A:$A,$A20),sumifs('Ai매출업 raw'!$D:$D,'Ai매출업 raw'!$A:$A,$A20))</f>
        <v>104775</v>
      </c>
      <c r="C20" s="7">
        <f>sum(sumifs('파워클릭 raw'!$H:$H,'파워클릭 raw'!$A:$A,$A20),sumifs('Ai매출업 raw'!$I:$I,'Ai매출업 raw'!$A:$A,$A20))</f>
        <v>7</v>
      </c>
      <c r="D20" s="7">
        <f>sum(sumifs('파워클릭 raw'!$I:$I,'파워클릭 raw'!$A:$A,$A20),sumifs('Ai매출업 raw'!$J:$J,'Ai매출업 raw'!$A:$A,$A20))</f>
        <v>549000</v>
      </c>
      <c r="E20" s="8">
        <f t="shared" si="3"/>
        <v>5.239799571</v>
      </c>
      <c r="F20" s="7">
        <f>sumifs('매출정리 raw'!$J:$J,'매출정리 raw'!$A:$A,$A20)</f>
        <v>608000</v>
      </c>
      <c r="G20" s="7">
        <f>sum(sumifs('매출정리 raw'!$J:$J,'매출정리 raw'!$A:$A,$A20,'매출정리 raw'!$B:$B,"취소완료"),sumifs('매출정리 raw'!$J:$J,'매출정리 raw'!$A:$A,$A20,'매출정리 raw'!$B:$B,"환불완료"),sumifs('매출정리 raw'!$J:$J,'매출정리 raw'!$A:$A,$A20,'매출정리 raw'!$B:$B,"반품완료"),sumifs('매출정리 raw'!$J:$J,'매출정리 raw'!$A:$A,$A20,'매출정리 raw'!$B:$B,"반품요청"),sumifs('매출정리 raw'!$J:$J,'매출정리 raw'!$A:$A,$A20,'매출정리 raw'!$B:$B,"환불요청"),sumifs('매출정리 raw'!$J:$J,'매출정리 raw'!$A:$A,$A20,'매출정리 raw'!$B:$B,"취소요청"))</f>
        <v>59000</v>
      </c>
      <c r="H20" s="7">
        <f t="shared" si="5"/>
        <v>549000</v>
      </c>
      <c r="I20" s="8">
        <f t="shared" si="4"/>
        <v>5.239799571</v>
      </c>
    </row>
    <row r="21">
      <c r="A21" s="9">
        <f t="shared" si="6"/>
        <v>45979</v>
      </c>
      <c r="B21" s="7">
        <f>sum(sumifs('파워클릭 raw'!$G:$G,'파워클릭 raw'!$A:$A,$A21),sumifs('Ai매출업 raw'!$D:$D,'Ai매출업 raw'!$A:$A,$A21))</f>
        <v>110935</v>
      </c>
      <c r="C21" s="7">
        <f>sum(sumifs('파워클릭 raw'!$H:$H,'파워클릭 raw'!$A:$A,$A21),sumifs('Ai매출업 raw'!$I:$I,'Ai매출업 raw'!$A:$A,$A21))</f>
        <v>9</v>
      </c>
      <c r="D21" s="7">
        <f>sum(sumifs('파워클릭 raw'!$I:$I,'파워클릭 raw'!$A:$A,$A21),sumifs('Ai매출업 raw'!$J:$J,'Ai매출업 raw'!$A:$A,$A21))</f>
        <v>611900</v>
      </c>
      <c r="E21" s="8">
        <f t="shared" si="3"/>
        <v>5.515842611</v>
      </c>
      <c r="F21" s="7">
        <f>sumifs('매출정리 raw'!$J:$J,'매출정리 raw'!$A:$A,$A21)</f>
        <v>831400</v>
      </c>
      <c r="G21" s="7">
        <f>sum(sumifs('매출정리 raw'!$J:$J,'매출정리 raw'!$A:$A,$A21,'매출정리 raw'!$B:$B,"취소완료"),sumifs('매출정리 raw'!$J:$J,'매출정리 raw'!$A:$A,$A21,'매출정리 raw'!$B:$B,"환불완료"),sumifs('매출정리 raw'!$J:$J,'매출정리 raw'!$A:$A,$A21,'매출정리 raw'!$B:$B,"반품완료"),sumifs('매출정리 raw'!$J:$J,'매출정리 raw'!$A:$A,$A21,'매출정리 raw'!$B:$B,"반품요청"),sumifs('매출정리 raw'!$J:$J,'매출정리 raw'!$A:$A,$A21,'매출정리 raw'!$B:$B,"환불요청"),sumifs('매출정리 raw'!$J:$J,'매출정리 raw'!$A:$A,$A21,'매출정리 raw'!$B:$B,"취소요청"))</f>
        <v>145000</v>
      </c>
      <c r="H21" s="7">
        <f t="shared" si="5"/>
        <v>686400</v>
      </c>
      <c r="I21" s="8">
        <f t="shared" si="4"/>
        <v>6.18740704</v>
      </c>
    </row>
    <row r="22">
      <c r="A22" s="9">
        <f t="shared" si="6"/>
        <v>45980</v>
      </c>
      <c r="B22" s="7">
        <f>sum(sumifs('파워클릭 raw'!$G:$G,'파워클릭 raw'!$A:$A,$A22),sumifs('Ai매출업 raw'!$D:$D,'Ai매출업 raw'!$A:$A,$A22))</f>
        <v>95546</v>
      </c>
      <c r="C22" s="7">
        <f>sum(sumifs('파워클릭 raw'!$H:$H,'파워클릭 raw'!$A:$A,$A22),sumifs('Ai매출업 raw'!$I:$I,'Ai매출업 raw'!$A:$A,$A22))</f>
        <v>23</v>
      </c>
      <c r="D22" s="7">
        <f>sum(sumifs('파워클릭 raw'!$I:$I,'파워클릭 raw'!$A:$A,$A22),sumifs('Ai매출업 raw'!$J:$J,'Ai매출업 raw'!$A:$A,$A22))</f>
        <v>1241400</v>
      </c>
      <c r="E22" s="8">
        <f t="shared" si="3"/>
        <v>12.99269462</v>
      </c>
      <c r="F22" s="7">
        <f>sumifs('매출정리 raw'!$J:$J,'매출정리 raw'!$A:$A,$A22)</f>
        <v>1627500</v>
      </c>
      <c r="G22" s="7">
        <f>sum(sumifs('매출정리 raw'!$J:$J,'매출정리 raw'!$A:$A,$A22,'매출정리 raw'!$B:$B,"취소완료"),sumifs('매출정리 raw'!$J:$J,'매출정리 raw'!$A:$A,$A22,'매출정리 raw'!$B:$B,"환불완료"),sumifs('매출정리 raw'!$J:$J,'매출정리 raw'!$A:$A,$A22,'매출정리 raw'!$B:$B,"반품완료"),sumifs('매출정리 raw'!$J:$J,'매출정리 raw'!$A:$A,$A22,'매출정리 raw'!$B:$B,"반품요청"),sumifs('매출정리 raw'!$J:$J,'매출정리 raw'!$A:$A,$A22,'매출정리 raw'!$B:$B,"환불요청"),sumifs('매출정리 raw'!$J:$J,'매출정리 raw'!$A:$A,$A22,'매출정리 raw'!$B:$B,"취소요청"))</f>
        <v>59000</v>
      </c>
      <c r="H22" s="7">
        <f t="shared" si="5"/>
        <v>1568500</v>
      </c>
      <c r="I22" s="8">
        <f t="shared" si="4"/>
        <v>16.4161765</v>
      </c>
    </row>
    <row r="23">
      <c r="A23" s="9">
        <f t="shared" si="6"/>
        <v>45981</v>
      </c>
      <c r="B23" s="7">
        <f>sum(sumifs('파워클릭 raw'!$G:$G,'파워클릭 raw'!$A:$A,$A23),sumifs('Ai매출업 raw'!$D:$D,'Ai매출업 raw'!$A:$A,$A23))</f>
        <v>78705</v>
      </c>
      <c r="C23" s="7">
        <f>sum(sumifs('파워클릭 raw'!$H:$H,'파워클릭 raw'!$A:$A,$A23),sumifs('Ai매출업 raw'!$I:$I,'Ai매출업 raw'!$A:$A,$A23))</f>
        <v>15</v>
      </c>
      <c r="D23" s="7">
        <f>sum(sumifs('파워클릭 raw'!$I:$I,'파워클릭 raw'!$A:$A,$A23),sumifs('Ai매출업 raw'!$J:$J,'Ai매출업 raw'!$A:$A,$A23))</f>
        <v>795500</v>
      </c>
      <c r="E23" s="8">
        <f t="shared" si="3"/>
        <v>10.10736294</v>
      </c>
      <c r="F23" s="7">
        <f>sumifs('매출정리 raw'!$J:$J,'매출정리 raw'!$A:$A,$A23)</f>
        <v>1162500</v>
      </c>
      <c r="G23" s="7">
        <f>sum(sumifs('매출정리 raw'!$J:$J,'매출정리 raw'!$A:$A,$A23,'매출정리 raw'!$B:$B,"취소완료"),sumifs('매출정리 raw'!$J:$J,'매출정리 raw'!$A:$A,$A23,'매출정리 raw'!$B:$B,"환불완료"),sumifs('매출정리 raw'!$J:$J,'매출정리 raw'!$A:$A,$A23,'매출정리 raw'!$B:$B,"반품완료"),sumifs('매출정리 raw'!$J:$J,'매출정리 raw'!$A:$A,$A23,'매출정리 raw'!$B:$B,"반품요청"),sumifs('매출정리 raw'!$J:$J,'매출정리 raw'!$A:$A,$A23,'매출정리 raw'!$B:$B,"환불요청"),sumifs('매출정리 raw'!$J:$J,'매출정리 raw'!$A:$A,$A23,'매출정리 raw'!$B:$B,"취소요청"))</f>
        <v>178000</v>
      </c>
      <c r="H23" s="7">
        <f t="shared" si="5"/>
        <v>984500</v>
      </c>
      <c r="I23" s="8">
        <f t="shared" si="4"/>
        <v>12.50873515</v>
      </c>
    </row>
    <row r="24">
      <c r="A24" s="9">
        <f t="shared" si="6"/>
        <v>45982</v>
      </c>
      <c r="B24" s="7">
        <f>sum(sumifs('파워클릭 raw'!$G:$G,'파워클릭 raw'!$A:$A,$A24),sumifs('Ai매출업 raw'!$D:$D,'Ai매출업 raw'!$A:$A,$A24))</f>
        <v>64251</v>
      </c>
      <c r="C24" s="7">
        <f>sum(sumifs('파워클릭 raw'!$H:$H,'파워클릭 raw'!$A:$A,$A24),sumifs('Ai매출업 raw'!$I:$I,'Ai매출업 raw'!$A:$A,$A24))</f>
        <v>2</v>
      </c>
      <c r="D24" s="7">
        <f>sum(sumifs('파워클릭 raw'!$I:$I,'파워클릭 raw'!$A:$A,$A24),sumifs('Ai매출업 raw'!$J:$J,'Ai매출업 raw'!$A:$A,$A24))</f>
        <v>131000</v>
      </c>
      <c r="E24" s="8">
        <f t="shared" si="3"/>
        <v>2.038878772</v>
      </c>
      <c r="F24" s="7">
        <f>sumifs('매출정리 raw'!$J:$J,'매출정리 raw'!$A:$A,$A24)</f>
        <v>608900</v>
      </c>
      <c r="G24" s="7">
        <f>sum(sumifs('매출정리 raw'!$J:$J,'매출정리 raw'!$A:$A,$A24,'매출정리 raw'!$B:$B,"취소완료"),sumifs('매출정리 raw'!$J:$J,'매출정리 raw'!$A:$A,$A24,'매출정리 raw'!$B:$B,"환불완료"),sumifs('매출정리 raw'!$J:$J,'매출정리 raw'!$A:$A,$A24,'매출정리 raw'!$B:$B,"반품완료"),sumifs('매출정리 raw'!$J:$J,'매출정리 raw'!$A:$A,$A24,'매출정리 raw'!$B:$B,"반품요청"),sumifs('매출정리 raw'!$J:$J,'매출정리 raw'!$A:$A,$A24,'매출정리 raw'!$B:$B,"환불요청"),sumifs('매출정리 raw'!$J:$J,'매출정리 raw'!$A:$A,$A24,'매출정리 raw'!$B:$B,"취소요청"))</f>
        <v>0</v>
      </c>
      <c r="H24" s="7">
        <f t="shared" si="5"/>
        <v>608900</v>
      </c>
      <c r="I24" s="8">
        <f t="shared" si="4"/>
        <v>9.476895301</v>
      </c>
    </row>
    <row r="25">
      <c r="A25" s="9">
        <f t="shared" si="6"/>
        <v>45983</v>
      </c>
      <c r="B25" s="7">
        <f>sum(sumifs('파워클릭 raw'!$G:$G,'파워클릭 raw'!$A:$A,$A25),sumifs('Ai매출업 raw'!$D:$D,'Ai매출업 raw'!$A:$A,$A25))</f>
        <v>66506</v>
      </c>
      <c r="C25" s="7">
        <f>sum(sumifs('파워클릭 raw'!$H:$H,'파워클릭 raw'!$A:$A,$A25),sumifs('Ai매출업 raw'!$I:$I,'Ai매출업 raw'!$A:$A,$A25))</f>
        <v>3</v>
      </c>
      <c r="D25" s="7">
        <f>sum(sumifs('파워클릭 raw'!$I:$I,'파워클릭 raw'!$A:$A,$A25),sumifs('Ai매출업 raw'!$J:$J,'Ai매출업 raw'!$A:$A,$A25))</f>
        <v>177000</v>
      </c>
      <c r="E25" s="8">
        <f t="shared" si="3"/>
        <v>2.661414008</v>
      </c>
      <c r="F25" s="7">
        <f>sumifs('매출정리 raw'!$J:$J,'매출정리 raw'!$A:$A,$A25)</f>
        <v>177000</v>
      </c>
      <c r="G25" s="7">
        <f>sum(sumifs('매출정리 raw'!$J:$J,'매출정리 raw'!$A:$A,$A25,'매출정리 raw'!$B:$B,"취소완료"),sumifs('매출정리 raw'!$J:$J,'매출정리 raw'!$A:$A,$A25,'매출정리 raw'!$B:$B,"환불완료"),sumifs('매출정리 raw'!$J:$J,'매출정리 raw'!$A:$A,$A25,'매출정리 raw'!$B:$B,"반품완료"),sumifs('매출정리 raw'!$J:$J,'매출정리 raw'!$A:$A,$A25,'매출정리 raw'!$B:$B,"반품요청"),sumifs('매출정리 raw'!$J:$J,'매출정리 raw'!$A:$A,$A25,'매출정리 raw'!$B:$B,"환불요청"),sumifs('매출정리 raw'!$J:$J,'매출정리 raw'!$A:$A,$A25,'매출정리 raw'!$B:$B,"취소요청"))</f>
        <v>0</v>
      </c>
      <c r="H25" s="7">
        <f t="shared" si="5"/>
        <v>177000</v>
      </c>
      <c r="I25" s="8">
        <f t="shared" si="4"/>
        <v>2.661414008</v>
      </c>
    </row>
    <row r="26">
      <c r="A26" s="9">
        <f t="shared" si="6"/>
        <v>45984</v>
      </c>
      <c r="B26" s="7">
        <f>sum(sumifs('파워클릭 raw'!$G:$G,'파워클릭 raw'!$A:$A,$A26),sumifs('Ai매출업 raw'!$D:$D,'Ai매출업 raw'!$A:$A,$A26))</f>
        <v>82764</v>
      </c>
      <c r="C26" s="7">
        <f>sum(sumifs('파워클릭 raw'!$H:$H,'파워클릭 raw'!$A:$A,$A26),sumifs('Ai매출업 raw'!$I:$I,'Ai매출업 raw'!$A:$A,$A26))</f>
        <v>3</v>
      </c>
      <c r="D26" s="7">
        <f>sum(sumifs('파워클릭 raw'!$I:$I,'파워클릭 raw'!$A:$A,$A26),sumifs('Ai매출업 raw'!$J:$J,'Ai매출업 raw'!$A:$A,$A26))</f>
        <v>131800</v>
      </c>
      <c r="E26" s="8">
        <f t="shared" si="3"/>
        <v>1.592479822</v>
      </c>
      <c r="F26" s="7">
        <f>sumifs('매출정리 raw'!$J:$J,'매출정리 raw'!$A:$A,$A26)</f>
        <v>272700</v>
      </c>
      <c r="G26" s="7">
        <f>sum(sumifs('매출정리 raw'!$J:$J,'매출정리 raw'!$A:$A,$A26,'매출정리 raw'!$B:$B,"취소완료"),sumifs('매출정리 raw'!$J:$J,'매출정리 raw'!$A:$A,$A26,'매출정리 raw'!$B:$B,"환불완료"),sumifs('매출정리 raw'!$J:$J,'매출정리 raw'!$A:$A,$A26,'매출정리 raw'!$B:$B,"반품완료"),sumifs('매출정리 raw'!$J:$J,'매출정리 raw'!$A:$A,$A26,'매출정리 raw'!$B:$B,"반품요청"),sumifs('매출정리 raw'!$J:$J,'매출정리 raw'!$A:$A,$A26,'매출정리 raw'!$B:$B,"환불요청"),sumifs('매출정리 raw'!$J:$J,'매출정리 raw'!$A:$A,$A26,'매출정리 raw'!$B:$B,"취소요청"))</f>
        <v>0</v>
      </c>
      <c r="H26" s="7">
        <f t="shared" si="5"/>
        <v>272700</v>
      </c>
      <c r="I26" s="8">
        <f t="shared" si="4"/>
        <v>3.294910831</v>
      </c>
    </row>
    <row r="27">
      <c r="A27" s="9">
        <f t="shared" si="6"/>
        <v>45985</v>
      </c>
      <c r="B27" s="7">
        <f>sum(sumifs('파워클릭 raw'!$G:$G,'파워클릭 raw'!$A:$A,$A27),sumifs('Ai매출업 raw'!$D:$D,'Ai매출업 raw'!$A:$A,$A27))</f>
        <v>74910</v>
      </c>
      <c r="C27" s="7">
        <f>sum(sumifs('파워클릭 raw'!$H:$H,'파워클릭 raw'!$A:$A,$A27),sumifs('Ai매출업 raw'!$I:$I,'Ai매출업 raw'!$A:$A,$A27))</f>
        <v>13</v>
      </c>
      <c r="D27" s="7">
        <f>sum(sumifs('파워클릭 raw'!$I:$I,'파워클릭 raw'!$A:$A,$A27),sumifs('Ai매출업 raw'!$J:$J,'Ai매출업 raw'!$A:$A,$A27))</f>
        <v>779800</v>
      </c>
      <c r="E27" s="8">
        <f t="shared" si="3"/>
        <v>10.40982512</v>
      </c>
      <c r="F27" s="7">
        <f>sumifs('매출정리 raw'!$J:$J,'매출정리 raw'!$A:$A,$A27)</f>
        <v>746700</v>
      </c>
      <c r="G27" s="7">
        <f>sum(sumifs('매출정리 raw'!$J:$J,'매출정리 raw'!$A:$A,$A27,'매출정리 raw'!$B:$B,"취소완료"),sumifs('매출정리 raw'!$J:$J,'매출정리 raw'!$A:$A,$A27,'매출정리 raw'!$B:$B,"환불완료"),sumifs('매출정리 raw'!$J:$J,'매출정리 raw'!$A:$A,$A27,'매출정리 raw'!$B:$B,"반품완료"),sumifs('매출정리 raw'!$J:$J,'매출정리 raw'!$A:$A,$A27,'매출정리 raw'!$B:$B,"반품요청"),sumifs('매출정리 raw'!$J:$J,'매출정리 raw'!$A:$A,$A27,'매출정리 raw'!$B:$B,"환불요청"),sumifs('매출정리 raw'!$J:$J,'매출정리 raw'!$A:$A,$A27,'매출정리 raw'!$B:$B,"취소요청"))</f>
        <v>0</v>
      </c>
      <c r="H27" s="7">
        <f t="shared" si="5"/>
        <v>746700</v>
      </c>
      <c r="I27" s="8">
        <f t="shared" si="4"/>
        <v>9.967961554</v>
      </c>
    </row>
    <row r="28">
      <c r="A28" s="9">
        <f t="shared" si="6"/>
        <v>45986</v>
      </c>
      <c r="B28" s="7">
        <f>sum(sumifs('파워클릭 raw'!$G:$G,'파워클릭 raw'!$A:$A,$A28),sumifs('Ai매출업 raw'!$D:$D,'Ai매출업 raw'!$A:$A,$A28))</f>
        <v>82280</v>
      </c>
      <c r="C28" s="7">
        <f>sum(sumifs('파워클릭 raw'!$H:$H,'파워클릭 raw'!$A:$A,$A28),sumifs('Ai매출업 raw'!$I:$I,'Ai매출업 raw'!$A:$A,$A28))</f>
        <v>9</v>
      </c>
      <c r="D28" s="7">
        <f>sum(sumifs('파워클릭 raw'!$I:$I,'파워클릭 raw'!$A:$A,$A28),sumifs('Ai매출업 raw'!$J:$J,'Ai매출업 raw'!$A:$A,$A28))</f>
        <v>438300</v>
      </c>
      <c r="E28" s="8">
        <f t="shared" si="3"/>
        <v>5.326932426</v>
      </c>
      <c r="F28" s="7">
        <f>sumifs('매출정리 raw'!$J:$J,'매출정리 raw'!$A:$A,$A28)</f>
        <v>817100</v>
      </c>
      <c r="G28" s="7">
        <f>sum(sumifs('매출정리 raw'!$J:$J,'매출정리 raw'!$A:$A,$A28,'매출정리 raw'!$B:$B,"취소완료"),sumifs('매출정리 raw'!$J:$J,'매출정리 raw'!$A:$A,$A28,'매출정리 raw'!$B:$B,"환불완료"),sumifs('매출정리 raw'!$J:$J,'매출정리 raw'!$A:$A,$A28,'매출정리 raw'!$B:$B,"반품완료"),sumifs('매출정리 raw'!$J:$J,'매출정리 raw'!$A:$A,$A28,'매출정리 raw'!$B:$B,"반품요청"),sumifs('매출정리 raw'!$J:$J,'매출정리 raw'!$A:$A,$A28,'매출정리 raw'!$B:$B,"환불요청"),sumifs('매출정리 raw'!$J:$J,'매출정리 raw'!$A:$A,$A28,'매출정리 raw'!$B:$B,"취소요청"))</f>
        <v>0</v>
      </c>
      <c r="H28" s="7">
        <f t="shared" si="5"/>
        <v>817100</v>
      </c>
      <c r="I28" s="8">
        <f t="shared" si="4"/>
        <v>9.930724356</v>
      </c>
    </row>
    <row r="29">
      <c r="A29" s="9">
        <f t="shared" si="6"/>
        <v>45987</v>
      </c>
      <c r="B29" s="7">
        <f>sum(sumifs('파워클릭 raw'!$G:$G,'파워클릭 raw'!$A:$A,$A29),sumifs('Ai매출업 raw'!$D:$D,'Ai매출업 raw'!$A:$A,$A29))</f>
        <v>66781</v>
      </c>
      <c r="C29" s="7">
        <f>sum(sumifs('파워클릭 raw'!$H:$H,'파워클릭 raw'!$A:$A,$A29),sumifs('Ai매출업 raw'!$I:$I,'Ai매출업 raw'!$A:$A,$A29))</f>
        <v>10</v>
      </c>
      <c r="D29" s="7">
        <f>sum(sumifs('파워클릭 raw'!$I:$I,'파워클릭 raw'!$A:$A,$A29),sumifs('Ai매출업 raw'!$J:$J,'Ai매출업 raw'!$A:$A,$A29))</f>
        <v>599700</v>
      </c>
      <c r="E29" s="8">
        <f t="shared" si="3"/>
        <v>8.98009913</v>
      </c>
      <c r="F29" s="7">
        <f>sumifs('매출정리 raw'!$J:$J,'매출정리 raw'!$A:$A,$A29)</f>
        <v>715500</v>
      </c>
      <c r="G29" s="7">
        <f>sum(sumifs('매출정리 raw'!$J:$J,'매출정리 raw'!$A:$A,$A29,'매출정리 raw'!$B:$B,"취소완료"),sumifs('매출정리 raw'!$J:$J,'매출정리 raw'!$A:$A,$A29,'매출정리 raw'!$B:$B,"환불완료"),sumifs('매출정리 raw'!$J:$J,'매출정리 raw'!$A:$A,$A29,'매출정리 raw'!$B:$B,"반품완료"),sumifs('매출정리 raw'!$J:$J,'매출정리 raw'!$A:$A,$A29,'매출정리 raw'!$B:$B,"반품요청"),sumifs('매출정리 raw'!$J:$J,'매출정리 raw'!$A:$A,$A29,'매출정리 raw'!$B:$B,"환불요청"),sumifs('매출정리 raw'!$J:$J,'매출정리 raw'!$A:$A,$A29,'매출정리 raw'!$B:$B,"취소요청"))</f>
        <v>59000</v>
      </c>
      <c r="H29" s="7">
        <f t="shared" si="5"/>
        <v>656500</v>
      </c>
      <c r="I29" s="8">
        <f t="shared" si="4"/>
        <v>9.830640452</v>
      </c>
    </row>
    <row r="30">
      <c r="A30" s="9">
        <f t="shared" si="6"/>
        <v>45988</v>
      </c>
      <c r="B30" s="7">
        <f>sum(sumifs('파워클릭 raw'!$G:$G,'파워클릭 raw'!$A:$A,$A30),sumifs('Ai매출업 raw'!$D:$D,'Ai매출업 raw'!$A:$A,$A30))</f>
        <v>60665</v>
      </c>
      <c r="C30" s="7">
        <f>sum(sumifs('파워클릭 raw'!$H:$H,'파워클릭 raw'!$A:$A,$A30),sumifs('Ai매출업 raw'!$I:$I,'Ai매출업 raw'!$A:$A,$A30))</f>
        <v>9</v>
      </c>
      <c r="D30" s="7">
        <f>sum(sumifs('파워클릭 raw'!$I:$I,'파워클릭 raw'!$A:$A,$A30),sumifs('Ai매출업 raw'!$J:$J,'Ai매출업 raw'!$A:$A,$A30))</f>
        <v>571900</v>
      </c>
      <c r="E30" s="8">
        <f t="shared" si="3"/>
        <v>9.427182065</v>
      </c>
      <c r="F30" s="7">
        <f>sumifs('매출정리 raw'!$J:$J,'매출정리 raw'!$A:$A,$A30)</f>
        <v>661500</v>
      </c>
      <c r="G30" s="7">
        <f>sum(sumifs('매출정리 raw'!$J:$J,'매출정리 raw'!$A:$A,$A30,'매출정리 raw'!$B:$B,"취소완료"),sumifs('매출정리 raw'!$J:$J,'매출정리 raw'!$A:$A,$A30,'매출정리 raw'!$B:$B,"환불완료"),sumifs('매출정리 raw'!$J:$J,'매출정리 raw'!$A:$A,$A30,'매출정리 raw'!$B:$B,"반품완료"),sumifs('매출정리 raw'!$J:$J,'매출정리 raw'!$A:$A,$A30,'매출정리 raw'!$B:$B,"반품요청"),sumifs('매출정리 raw'!$J:$J,'매출정리 raw'!$A:$A,$A30,'매출정리 raw'!$B:$B,"환불요청"),sumifs('매출정리 raw'!$J:$J,'매출정리 raw'!$A:$A,$A30,'매출정리 raw'!$B:$B,"취소요청"))</f>
        <v>144000</v>
      </c>
      <c r="H30" s="7">
        <f t="shared" si="5"/>
        <v>517500</v>
      </c>
      <c r="I30" s="8">
        <f t="shared" si="4"/>
        <v>8.530454133</v>
      </c>
    </row>
    <row r="31">
      <c r="A31" s="9">
        <f t="shared" si="6"/>
        <v>45989</v>
      </c>
      <c r="B31" s="7">
        <f>sum(sumifs('파워클릭 raw'!$G:$G,'파워클릭 raw'!$A:$A,$A31),sumifs('Ai매출업 raw'!$D:$D,'Ai매출업 raw'!$A:$A,$A31))</f>
        <v>74998</v>
      </c>
      <c r="C31" s="7">
        <f>sum(sumifs('파워클릭 raw'!$H:$H,'파워클릭 raw'!$A:$A,$A31),sumifs('Ai매출업 raw'!$I:$I,'Ai매출업 raw'!$A:$A,$A31))</f>
        <v>6</v>
      </c>
      <c r="D31" s="7">
        <f>sum(sumifs('파워클릭 raw'!$I:$I,'파워클릭 raw'!$A:$A,$A31),sumifs('Ai매출업 raw'!$J:$J,'Ai매출업 raw'!$A:$A,$A31))</f>
        <v>291800</v>
      </c>
      <c r="E31" s="8">
        <f t="shared" si="3"/>
        <v>3.890770421</v>
      </c>
      <c r="F31" s="7">
        <f>sumifs('매출정리 raw'!$J:$J,'매출정리 raw'!$A:$A,$A31)</f>
        <v>409800</v>
      </c>
      <c r="G31" s="7">
        <f>sum(sumifs('매출정리 raw'!$J:$J,'매출정리 raw'!$A:$A,$A31,'매출정리 raw'!$B:$B,"취소완료"),sumifs('매출정리 raw'!$J:$J,'매출정리 raw'!$A:$A,$A31,'매출정리 raw'!$B:$B,"환불완료"),sumifs('매출정리 raw'!$J:$J,'매출정리 raw'!$A:$A,$A31,'매출정리 raw'!$B:$B,"반품완료"),sumifs('매출정리 raw'!$J:$J,'매출정리 raw'!$A:$A,$A31,'매출정리 raw'!$B:$B,"반품요청"),sumifs('매출정리 raw'!$J:$J,'매출정리 raw'!$A:$A,$A31,'매출정리 raw'!$B:$B,"환불요청"),sumifs('매출정리 raw'!$J:$J,'매출정리 raw'!$A:$A,$A31,'매출정리 raw'!$B:$B,"취소요청"))</f>
        <v>0</v>
      </c>
      <c r="H31" s="7">
        <f t="shared" si="5"/>
        <v>409800</v>
      </c>
      <c r="I31" s="8">
        <f t="shared" si="4"/>
        <v>5.464145711</v>
      </c>
    </row>
    <row r="32">
      <c r="A32" s="9">
        <f t="shared" si="6"/>
        <v>45990</v>
      </c>
      <c r="B32" s="7">
        <f>sum(sumifs('파워클릭 raw'!$G:$G,'파워클릭 raw'!$A:$A,$A32),sumifs('Ai매출업 raw'!$D:$D,'Ai매출업 raw'!$A:$A,$A32))</f>
        <v>88858</v>
      </c>
      <c r="C32" s="7">
        <f>sum(sumifs('파워클릭 raw'!$H:$H,'파워클릭 raw'!$A:$A,$A32),sumifs('Ai매출업 raw'!$I:$I,'Ai매출업 raw'!$A:$A,$A32))</f>
        <v>8</v>
      </c>
      <c r="D32" s="7">
        <f>sum(sumifs('파워클릭 raw'!$I:$I,'파워클릭 raw'!$A:$A,$A32),sumifs('Ai매출업 raw'!$J:$J,'Ai매출업 raw'!$A:$A,$A32))</f>
        <v>395300</v>
      </c>
      <c r="E32" s="8">
        <f t="shared" si="3"/>
        <v>4.448670913</v>
      </c>
      <c r="F32" s="7">
        <f>sumifs('매출정리 raw'!$J:$J,'매출정리 raw'!$A:$A,$A32)</f>
        <v>573300</v>
      </c>
      <c r="G32" s="7">
        <f>sum(sumifs('매출정리 raw'!$J:$J,'매출정리 raw'!$A:$A,$A32,'매출정리 raw'!$B:$B,"취소완료"),sumifs('매출정리 raw'!$J:$J,'매출정리 raw'!$A:$A,$A32,'매출정리 raw'!$B:$B,"환불완료"),sumifs('매출정리 raw'!$J:$J,'매출정리 raw'!$A:$A,$A32,'매출정리 raw'!$B:$B,"반품완료"),sumifs('매출정리 raw'!$J:$J,'매출정리 raw'!$A:$A,$A32,'매출정리 raw'!$B:$B,"반품요청"),sumifs('매출정리 raw'!$J:$J,'매출정리 raw'!$A:$A,$A32,'매출정리 raw'!$B:$B,"환불요청"),sumifs('매출정리 raw'!$J:$J,'매출정리 raw'!$A:$A,$A32,'매출정리 raw'!$B:$B,"취소요청"))</f>
        <v>119000</v>
      </c>
      <c r="H32" s="7">
        <f t="shared" si="5"/>
        <v>454300</v>
      </c>
      <c r="I32" s="8">
        <f t="shared" si="4"/>
        <v>5.112651646</v>
      </c>
    </row>
    <row r="33">
      <c r="A33" s="9">
        <f t="shared" si="6"/>
        <v>45991</v>
      </c>
      <c r="B33" s="7">
        <f>sum(sumifs('파워클릭 raw'!$G:$G,'파워클릭 raw'!$A:$A,$A33),sumifs('Ai매출업 raw'!$D:$D,'Ai매출업 raw'!$A:$A,$A33))</f>
        <v>102465</v>
      </c>
      <c r="C33" s="7">
        <f>sum(sumifs('파워클릭 raw'!$H:$H,'파워클릭 raw'!$A:$A,$A33),sumifs('Ai매출업 raw'!$I:$I,'Ai매출업 raw'!$A:$A,$A33))</f>
        <v>8</v>
      </c>
      <c r="D33" s="7">
        <f>sum(sumifs('파워클릭 raw'!$I:$I,'파워클릭 raw'!$A:$A,$A33),sumifs('Ai매출업 raw'!$J:$J,'Ai매출업 raw'!$A:$A,$A33))</f>
        <v>347800</v>
      </c>
      <c r="E33" s="8">
        <f t="shared" si="3"/>
        <v>3.394329771</v>
      </c>
      <c r="F33" s="7">
        <f>sumifs('매출정리 raw'!$J:$J,'매출정리 raw'!$A:$A,$A33)</f>
        <v>460700</v>
      </c>
      <c r="G33" s="7">
        <f>sum(sumifs('매출정리 raw'!$J:$J,'매출정리 raw'!$A:$A,$A33,'매출정리 raw'!$B:$B,"취소완료"),sumifs('매출정리 raw'!$J:$J,'매출정리 raw'!$A:$A,$A33,'매출정리 raw'!$B:$B,"환불완료"),sumifs('매출정리 raw'!$J:$J,'매출정리 raw'!$A:$A,$A33,'매출정리 raw'!$B:$B,"반품완료"),sumifs('매출정리 raw'!$J:$J,'매출정리 raw'!$A:$A,$A33,'매출정리 raw'!$B:$B,"반품요청"),sumifs('매출정리 raw'!$J:$J,'매출정리 raw'!$A:$A,$A33,'매출정리 raw'!$B:$B,"환불요청"),sumifs('매출정리 raw'!$J:$J,'매출정리 raw'!$A:$A,$A33,'매출정리 raw'!$B:$B,"취소요청"))</f>
        <v>118000</v>
      </c>
      <c r="H33" s="7">
        <f t="shared" si="5"/>
        <v>342700</v>
      </c>
      <c r="I33" s="8">
        <f t="shared" si="4"/>
        <v>3.344556678</v>
      </c>
    </row>
    <row r="34">
      <c r="A34" s="9">
        <f t="shared" si="6"/>
        <v>45992</v>
      </c>
      <c r="B34" s="7">
        <f>sum(sumifs('파워클릭 raw'!$G:$G,'파워클릭 raw'!$A:$A,$A34),sumifs('Ai매출업 raw'!$D:$D,'Ai매출업 raw'!$A:$A,$A34))</f>
        <v>0</v>
      </c>
      <c r="C34" s="7">
        <f>sum(sumifs('파워클릭 raw'!$H:$H,'파워클릭 raw'!$A:$A,$A34),sumifs('Ai매출업 raw'!$I:$I,'Ai매출업 raw'!$A:$A,$A34))</f>
        <v>0</v>
      </c>
      <c r="D34" s="7">
        <f>sum(sumifs('파워클릭 raw'!$I:$I,'파워클릭 raw'!$A:$A,$A34),sumifs('Ai매출업 raw'!$J:$J,'Ai매출업 raw'!$A:$A,$A34))</f>
        <v>0</v>
      </c>
      <c r="E34" s="8">
        <f t="shared" si="3"/>
        <v>0</v>
      </c>
      <c r="F34" s="7">
        <f>sumifs('매출정리 raw'!$J:$J,'매출정리 raw'!$A:$A,$A34)</f>
        <v>0</v>
      </c>
      <c r="G34" s="7">
        <f>sum(sumifs('매출정리 raw'!$J:$J,'매출정리 raw'!$A:$A,$A34,'매출정리 raw'!$B:$B,"취소완료"),sumifs('매출정리 raw'!$J:$J,'매출정리 raw'!$A:$A,$A34,'매출정리 raw'!$B:$B,"환불완료"),sumifs('매출정리 raw'!$J:$J,'매출정리 raw'!$A:$A,$A34,'매출정리 raw'!$B:$B,"반품완료"),sumifs('매출정리 raw'!$J:$J,'매출정리 raw'!$A:$A,$A34,'매출정리 raw'!$B:$B,"반품요청"),sumifs('매출정리 raw'!$J:$J,'매출정리 raw'!$A:$A,$A34,'매출정리 raw'!$B:$B,"환불요청"),sumifs('매출정리 raw'!$J:$J,'매출정리 raw'!$A:$A,$A34,'매출정리 raw'!$B:$B,"취소요청"))</f>
        <v>0</v>
      </c>
      <c r="H34" s="7">
        <f t="shared" si="5"/>
        <v>0</v>
      </c>
      <c r="I34" s="8">
        <f t="shared" si="4"/>
        <v>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9" width="15.63"/>
  </cols>
  <sheetData>
    <row r="1">
      <c r="A1" s="1" t="s">
        <v>11</v>
      </c>
    </row>
    <row r="2" ht="40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12</v>
      </c>
      <c r="G2" s="2" t="s">
        <v>13</v>
      </c>
      <c r="H2" s="2" t="s">
        <v>6</v>
      </c>
      <c r="I2" s="2" t="s">
        <v>7</v>
      </c>
      <c r="J2" s="2" t="s">
        <v>8</v>
      </c>
      <c r="K2" s="2" t="s">
        <v>9</v>
      </c>
      <c r="L2" s="2"/>
    </row>
    <row r="3">
      <c r="A3" s="3" t="s">
        <v>10</v>
      </c>
      <c r="B3" s="4">
        <f t="shared" ref="B3:D3" si="1">sum(B4:B33)</f>
        <v>1533675</v>
      </c>
      <c r="C3" s="4">
        <f t="shared" si="1"/>
        <v>175</v>
      </c>
      <c r="D3" s="4">
        <f t="shared" si="1"/>
        <v>8967700</v>
      </c>
      <c r="E3" s="5">
        <f t="shared" ref="E3:E34" si="3">iferror(D3/B3,0)</f>
        <v>5.847197092</v>
      </c>
      <c r="F3" s="4">
        <f>sum(F4:F33)</f>
        <v>14516600</v>
      </c>
      <c r="G3" s="5">
        <f t="shared" ref="G3:G34" si="4">iferror(F3/B3,0)</f>
        <v>9.465238724</v>
      </c>
      <c r="H3" s="4">
        <f t="shared" ref="H3:J3" si="2">sum(H4:H33)</f>
        <v>13086900</v>
      </c>
      <c r="I3" s="4">
        <f t="shared" si="2"/>
        <v>119900</v>
      </c>
      <c r="J3" s="4">
        <f t="shared" si="2"/>
        <v>12967000</v>
      </c>
      <c r="K3" s="10">
        <f t="shared" ref="K3:K34" si="5">iferror(J3/B3,0)</f>
        <v>8.454855168</v>
      </c>
      <c r="L3" s="11"/>
    </row>
    <row r="4">
      <c r="A4" s="6">
        <v>45962.0</v>
      </c>
      <c r="B4" s="7">
        <f>sumifs('11_광고비정리'!$G:$G,'11_광고비정리'!$A:$A,A4)</f>
        <v>35937</v>
      </c>
      <c r="C4" s="7">
        <f>sumifS('11_광고비정리'!$H:$H,'11_광고비정리'!$A:$A,A4)</f>
        <v>5</v>
      </c>
      <c r="D4" s="7">
        <f>sumifs('11_광고비정리'!$J:$J,'11_광고비정리'!$A:$A,A4)</f>
        <v>153000</v>
      </c>
      <c r="E4" s="8">
        <f t="shared" si="3"/>
        <v>4.257450538</v>
      </c>
      <c r="F4" s="7">
        <f>sumifs('11_광고비정리'!$Y:$Y,'11_광고비정리'!$A:$A,A4)</f>
        <v>282900</v>
      </c>
      <c r="G4" s="8">
        <f t="shared" si="4"/>
        <v>7.872109525</v>
      </c>
      <c r="H4" s="7">
        <f>sumifS('11_매출정리'!$T:$T,'11_매출정리'!$A:$A,A4)</f>
        <v>242800</v>
      </c>
      <c r="I4" s="7">
        <f>sum(sumifs('11_매출정리'!$T:$T,'11_매출정리'!$F:$F,"클레임진행중",'11_매출정리'!$A:$A,$A4))</f>
        <v>0</v>
      </c>
      <c r="J4" s="7">
        <f t="shared" ref="J4:J34" si="6">H4-I4</f>
        <v>242800</v>
      </c>
      <c r="K4" s="8">
        <f t="shared" si="5"/>
        <v>6.756267913</v>
      </c>
    </row>
    <row r="5">
      <c r="A5" s="9">
        <f t="shared" ref="A5:A34" si="7">A4+1</f>
        <v>45963</v>
      </c>
      <c r="B5" s="7">
        <f>sumifs('11_광고비정리'!$G:$G,'11_광고비정리'!$A:$A,A5)</f>
        <v>48851</v>
      </c>
      <c r="C5" s="7">
        <f>sumifS('11_광고비정리'!$H:$H,'11_광고비정리'!$A:$A,A5)</f>
        <v>7</v>
      </c>
      <c r="D5" s="7">
        <f>sumifs('11_광고비정리'!$J:$J,'11_광고비정리'!$A:$A,A5)</f>
        <v>437700</v>
      </c>
      <c r="E5" s="8">
        <f t="shared" si="3"/>
        <v>8.959898467</v>
      </c>
      <c r="F5" s="7">
        <f>sumifs('11_광고비정리'!$Y:$Y,'11_광고비정리'!$A:$A,A5)</f>
        <v>177500</v>
      </c>
      <c r="G5" s="8">
        <f t="shared" si="4"/>
        <v>3.633497779</v>
      </c>
      <c r="H5" s="7">
        <f>sumifS('11_매출정리'!$T:$T,'11_매출정리'!$A:$A,A5)</f>
        <v>510600</v>
      </c>
      <c r="I5" s="7">
        <f>sum(sumifs('11_매출정리'!$T:$T,'11_매출정리'!$F:$F,"클레임진행중",'11_매출정리'!$A:$A,$A5))</f>
        <v>0</v>
      </c>
      <c r="J5" s="7">
        <f t="shared" si="6"/>
        <v>510600</v>
      </c>
      <c r="K5" s="8">
        <f t="shared" si="5"/>
        <v>10.45219136</v>
      </c>
    </row>
    <row r="6">
      <c r="A6" s="9">
        <f t="shared" si="7"/>
        <v>45964</v>
      </c>
      <c r="B6" s="7">
        <f>sumifs('11_광고비정리'!$G:$G,'11_광고비정리'!$A:$A,A6)</f>
        <v>42746</v>
      </c>
      <c r="C6" s="7">
        <f>sumifS('11_광고비정리'!$H:$H,'11_광고비정리'!$A:$A,A6)</f>
        <v>10</v>
      </c>
      <c r="D6" s="7">
        <f>sumifs('11_광고비정리'!$J:$J,'11_광고비정리'!$A:$A,A6)</f>
        <v>404000</v>
      </c>
      <c r="E6" s="8">
        <f t="shared" si="3"/>
        <v>9.451176718</v>
      </c>
      <c r="F6" s="7">
        <f>sumifs('11_광고비정리'!$Y:$Y,'11_광고비정리'!$A:$A,A6)</f>
        <v>170500</v>
      </c>
      <c r="G6" s="8">
        <f t="shared" si="4"/>
        <v>3.988677303</v>
      </c>
      <c r="H6" s="7">
        <f>sumifS('11_매출정리'!$T:$T,'11_매출정리'!$A:$A,A6)</f>
        <v>469000</v>
      </c>
      <c r="I6" s="7">
        <f>sum(sumifs('11_매출정리'!$T:$T,'11_매출정리'!$F:$F,"클레임진행중",'11_매출정리'!$A:$A,$A6))</f>
        <v>0</v>
      </c>
      <c r="J6" s="7">
        <f t="shared" si="6"/>
        <v>469000</v>
      </c>
      <c r="K6" s="8">
        <f t="shared" si="5"/>
        <v>10.97178683</v>
      </c>
    </row>
    <row r="7">
      <c r="A7" s="9">
        <f t="shared" si="7"/>
        <v>45965</v>
      </c>
      <c r="B7" s="7">
        <f>sumifs('11_광고비정리'!$G:$G,'11_광고비정리'!$A:$A,A7)</f>
        <v>34408</v>
      </c>
      <c r="C7" s="7">
        <f>sumifS('11_광고비정리'!$H:$H,'11_광고비정리'!$A:$A,A7)</f>
        <v>4</v>
      </c>
      <c r="D7" s="7">
        <f>sumifs('11_광고비정리'!$J:$J,'11_광고비정리'!$A:$A,A7)</f>
        <v>100400</v>
      </c>
      <c r="E7" s="8">
        <f t="shared" si="3"/>
        <v>2.917926064</v>
      </c>
      <c r="F7" s="7">
        <f>sumifs('11_광고비정리'!$Y:$Y,'11_광고비정리'!$A:$A,A7)</f>
        <v>353300</v>
      </c>
      <c r="G7" s="8">
        <f t="shared" si="4"/>
        <v>10.26796094</v>
      </c>
      <c r="H7" s="7">
        <f>sumifS('11_매출정리'!$T:$T,'11_매출정리'!$A:$A,A7)</f>
        <v>1936400</v>
      </c>
      <c r="I7" s="7">
        <f>sum(sumifs('11_매출정리'!$T:$T,'11_매출정리'!$F:$F,"클레임진행중",'11_매출정리'!$A:$A,$A7))</f>
        <v>0</v>
      </c>
      <c r="J7" s="7">
        <f t="shared" si="6"/>
        <v>1936400</v>
      </c>
      <c r="K7" s="8">
        <f t="shared" si="5"/>
        <v>56.27760986</v>
      </c>
    </row>
    <row r="8">
      <c r="A8" s="9">
        <f t="shared" si="7"/>
        <v>45966</v>
      </c>
      <c r="B8" s="7">
        <f>sumifs('11_광고비정리'!$G:$G,'11_광고비정리'!$A:$A,A8)</f>
        <v>40260</v>
      </c>
      <c r="C8" s="7">
        <f>sumifS('11_광고비정리'!$H:$H,'11_광고비정리'!$A:$A,A8)</f>
        <v>6</v>
      </c>
      <c r="D8" s="7">
        <f>sumifs('11_광고비정리'!$J:$J,'11_광고비정리'!$A:$A,A8)</f>
        <v>264900</v>
      </c>
      <c r="E8" s="8">
        <f t="shared" si="3"/>
        <v>6.579731744</v>
      </c>
      <c r="F8" s="7">
        <f>sumifs('11_광고비정리'!$Y:$Y,'11_광고비정리'!$A:$A,A8)</f>
        <v>33000</v>
      </c>
      <c r="G8" s="8">
        <f t="shared" si="4"/>
        <v>0.8196721311</v>
      </c>
      <c r="H8" s="7">
        <f>sumifS('11_매출정리'!$T:$T,'11_매출정리'!$A:$A,A8)</f>
        <v>225900</v>
      </c>
      <c r="I8" s="7">
        <f>sum(sumifs('11_매출정리'!$T:$T,'11_매출정리'!$F:$F,"클레임진행중",'11_매출정리'!$A:$A,$A8))</f>
        <v>29000</v>
      </c>
      <c r="J8" s="7">
        <f t="shared" si="6"/>
        <v>196900</v>
      </c>
      <c r="K8" s="8">
        <f t="shared" si="5"/>
        <v>4.890710383</v>
      </c>
    </row>
    <row r="9">
      <c r="A9" s="9">
        <f t="shared" si="7"/>
        <v>45967</v>
      </c>
      <c r="B9" s="7">
        <f>sumifs('11_광고비정리'!$G:$G,'11_광고비정리'!$A:$A,A9)</f>
        <v>42031</v>
      </c>
      <c r="C9" s="7">
        <f>sumifS('11_광고비정리'!$H:$H,'11_광고비정리'!$A:$A,A9)</f>
        <v>4</v>
      </c>
      <c r="D9" s="7">
        <f>sumifs('11_광고비정리'!$J:$J,'11_광고비정리'!$A:$A,A9)</f>
        <v>127400</v>
      </c>
      <c r="E9" s="8">
        <f t="shared" si="3"/>
        <v>3.031096096</v>
      </c>
      <c r="F9" s="7">
        <f>sumifs('11_광고비정리'!$Y:$Y,'11_광고비정리'!$A:$A,A9)</f>
        <v>276800</v>
      </c>
      <c r="G9" s="8">
        <f t="shared" si="4"/>
        <v>6.585615379</v>
      </c>
      <c r="H9" s="7">
        <f>sumifS('11_매출정리'!$T:$T,'11_매출정리'!$A:$A,A9)</f>
        <v>292400</v>
      </c>
      <c r="I9" s="7">
        <f>sum(sumifs('11_매출정리'!$T:$T,'11_매출정리'!$F:$F,"클레임진행중",'11_매출정리'!$A:$A,$A9))</f>
        <v>0</v>
      </c>
      <c r="J9" s="7">
        <f t="shared" si="6"/>
        <v>292400</v>
      </c>
      <c r="K9" s="8">
        <f t="shared" si="5"/>
        <v>6.956770003</v>
      </c>
    </row>
    <row r="10">
      <c r="A10" s="9">
        <f t="shared" si="7"/>
        <v>45968</v>
      </c>
      <c r="B10" s="7">
        <f>sumifs('11_광고비정리'!$G:$G,'11_광고비정리'!$A:$A,A10)</f>
        <v>41349</v>
      </c>
      <c r="C10" s="7">
        <f>sumifS('11_광고비정리'!$H:$H,'11_광고비정리'!$A:$A,A10)</f>
        <v>2</v>
      </c>
      <c r="D10" s="7">
        <f>sumifs('11_광고비정리'!$J:$J,'11_광고비정리'!$A:$A,A10)</f>
        <v>133000</v>
      </c>
      <c r="E10" s="8">
        <f t="shared" si="3"/>
        <v>3.21652277</v>
      </c>
      <c r="F10" s="7">
        <f>sumifs('11_광고비정리'!$Y:$Y,'11_광고비정리'!$A:$A,A10)</f>
        <v>412600</v>
      </c>
      <c r="G10" s="8">
        <f t="shared" si="4"/>
        <v>9.9784759</v>
      </c>
      <c r="H10" s="7">
        <f>sumifS('11_매출정리'!$T:$T,'11_매출정리'!$A:$A,A10)</f>
        <v>74000</v>
      </c>
      <c r="I10" s="7">
        <f>sum(sumifs('11_매출정리'!$T:$T,'11_매출정리'!$F:$F,"클레임진행중",'11_매출정리'!$A:$A,$A10))</f>
        <v>0</v>
      </c>
      <c r="J10" s="7">
        <f t="shared" si="6"/>
        <v>74000</v>
      </c>
      <c r="K10" s="8">
        <f t="shared" si="5"/>
        <v>1.789644248</v>
      </c>
    </row>
    <row r="11">
      <c r="A11" s="9">
        <f t="shared" si="7"/>
        <v>45969</v>
      </c>
      <c r="B11" s="7">
        <f>sumifs('11_광고비정리'!$G:$G,'11_광고비정리'!$A:$A,A11)</f>
        <v>46695</v>
      </c>
      <c r="C11" s="7">
        <f>sumifS('11_광고비정리'!$H:$H,'11_광고비정리'!$A:$A,A11)</f>
        <v>4</v>
      </c>
      <c r="D11" s="7">
        <f>sumifs('11_광고비정리'!$J:$J,'11_광고비정리'!$A:$A,A11)</f>
        <v>224900</v>
      </c>
      <c r="E11" s="8">
        <f t="shared" si="3"/>
        <v>4.816361495</v>
      </c>
      <c r="F11" s="7">
        <f>sumifs('11_광고비정리'!$Y:$Y,'11_광고비정리'!$A:$A,A11)</f>
        <v>220800</v>
      </c>
      <c r="G11" s="8">
        <f t="shared" si="4"/>
        <v>4.728557661</v>
      </c>
      <c r="H11" s="7">
        <f>sumifS('11_매출정리'!$T:$T,'11_매출정리'!$A:$A,A11)</f>
        <v>283900</v>
      </c>
      <c r="I11" s="7">
        <f>sum(sumifs('11_매출정리'!$T:$T,'11_매출정리'!$F:$F,"클레임진행중",'11_매출정리'!$A:$A,$A11))</f>
        <v>0</v>
      </c>
      <c r="J11" s="7">
        <f t="shared" si="6"/>
        <v>283900</v>
      </c>
      <c r="K11" s="8">
        <f t="shared" si="5"/>
        <v>6.079880073</v>
      </c>
    </row>
    <row r="12">
      <c r="A12" s="9">
        <f t="shared" si="7"/>
        <v>45970</v>
      </c>
      <c r="B12" s="7">
        <f>sumifs('11_광고비정리'!$G:$G,'11_광고비정리'!$A:$A,A12)</f>
        <v>43835</v>
      </c>
      <c r="C12" s="7">
        <f>sumifS('11_광고비정리'!$H:$H,'11_광고비정리'!$A:$A,A12)</f>
        <v>2</v>
      </c>
      <c r="D12" s="7">
        <f>sumifs('11_광고비정리'!$J:$J,'11_광고비정리'!$A:$A,A12)</f>
        <v>30000</v>
      </c>
      <c r="E12" s="8">
        <f t="shared" si="3"/>
        <v>0.6843846242</v>
      </c>
      <c r="F12" s="7">
        <f>sumifs('11_광고비정리'!$Y:$Y,'11_광고비정리'!$A:$A,A12)</f>
        <v>672500</v>
      </c>
      <c r="G12" s="8">
        <f t="shared" si="4"/>
        <v>15.34162199</v>
      </c>
      <c r="H12" s="7">
        <f>sumifS('11_매출정리'!$T:$T,'11_매출정리'!$A:$A,A12)</f>
        <v>45000</v>
      </c>
      <c r="I12" s="7">
        <f>sum(sumifs('11_매출정리'!$T:$T,'11_매출정리'!$F:$F,"클레임진행중",'11_매출정리'!$A:$A,$A12))</f>
        <v>0</v>
      </c>
      <c r="J12" s="7">
        <f t="shared" si="6"/>
        <v>45000</v>
      </c>
      <c r="K12" s="8">
        <f t="shared" si="5"/>
        <v>1.026576936</v>
      </c>
    </row>
    <row r="13">
      <c r="A13" s="9">
        <f t="shared" si="7"/>
        <v>45971</v>
      </c>
      <c r="B13" s="7">
        <f>sumifs('11_광고비정리'!$G:$G,'11_광고비정리'!$A:$A,A13)</f>
        <v>40964</v>
      </c>
      <c r="C13" s="7">
        <f>sumifS('11_광고비정리'!$H:$H,'11_광고비정리'!$A:$A,A13)</f>
        <v>6</v>
      </c>
      <c r="D13" s="7">
        <f>sumifs('11_광고비정리'!$J:$J,'11_광고비정리'!$A:$A,A13)</f>
        <v>250100</v>
      </c>
      <c r="E13" s="8">
        <f t="shared" si="3"/>
        <v>6.105360805</v>
      </c>
      <c r="F13" s="7">
        <f>sumifs('11_광고비정리'!$Y:$Y,'11_광고비정리'!$A:$A,A13)</f>
        <v>458600</v>
      </c>
      <c r="G13" s="8">
        <f t="shared" si="4"/>
        <v>11.19519578</v>
      </c>
      <c r="H13" s="7">
        <f>sumifS('11_매출정리'!$T:$T,'11_매출정리'!$A:$A,A13)</f>
        <v>561200</v>
      </c>
      <c r="I13" s="7">
        <f>sum(sumifs('11_매출정리'!$T:$T,'11_매출정리'!$F:$F,"클레임진행중",'11_매출정리'!$A:$A,$A13))</f>
        <v>0</v>
      </c>
      <c r="J13" s="7">
        <f t="shared" si="6"/>
        <v>561200</v>
      </c>
      <c r="K13" s="8">
        <f t="shared" si="5"/>
        <v>13.699834</v>
      </c>
    </row>
    <row r="14">
      <c r="A14" s="9">
        <f t="shared" si="7"/>
        <v>45972</v>
      </c>
      <c r="B14" s="7">
        <f>sumifs('11_광고비정리'!$G:$G,'11_광고비정리'!$A:$A,A14)</f>
        <v>69949</v>
      </c>
      <c r="C14" s="7">
        <f>sumifS('11_광고비정리'!$H:$H,'11_광고비정리'!$A:$A,A14)</f>
        <v>11</v>
      </c>
      <c r="D14" s="7">
        <f>sumifs('11_광고비정리'!$J:$J,'11_광고비정리'!$A:$A,A14)</f>
        <v>515300</v>
      </c>
      <c r="E14" s="8">
        <f t="shared" si="3"/>
        <v>7.366795808</v>
      </c>
      <c r="F14" s="7">
        <f>sumifs('11_광고비정리'!$Y:$Y,'11_광고비정리'!$A:$A,A14)</f>
        <v>478400</v>
      </c>
      <c r="G14" s="8">
        <f t="shared" si="4"/>
        <v>6.83926861</v>
      </c>
      <c r="H14" s="7">
        <f>sumifS('11_매출정리'!$T:$T,'11_매출정리'!$A:$A,A14)</f>
        <v>669800</v>
      </c>
      <c r="I14" s="7">
        <f>sum(sumifs('11_매출정리'!$T:$T,'11_매출정리'!$F:$F,"클레임진행중",'11_매출정리'!$A:$A,$A14))</f>
        <v>0</v>
      </c>
      <c r="J14" s="7">
        <f t="shared" si="6"/>
        <v>669800</v>
      </c>
      <c r="K14" s="8">
        <f t="shared" si="5"/>
        <v>9.575547899</v>
      </c>
    </row>
    <row r="15">
      <c r="A15" s="9">
        <f t="shared" si="7"/>
        <v>45973</v>
      </c>
      <c r="B15" s="7">
        <f>sumifs('11_광고비정리'!$G:$G,'11_광고비정리'!$A:$A,A15)</f>
        <v>23078</v>
      </c>
      <c r="C15" s="7">
        <f>sumifS('11_광고비정리'!$H:$H,'11_광고비정리'!$A:$A,A15)</f>
        <v>2</v>
      </c>
      <c r="D15" s="7">
        <f>sumifs('11_광고비정리'!$J:$J,'11_광고비정리'!$A:$A,A15)</f>
        <v>45000</v>
      </c>
      <c r="E15" s="8">
        <f t="shared" si="3"/>
        <v>1.949909004</v>
      </c>
      <c r="F15" s="7">
        <f>sumifs('11_광고비정리'!$Y:$Y,'11_광고비정리'!$A:$A,A15)</f>
        <v>220900</v>
      </c>
      <c r="G15" s="8">
        <f t="shared" si="4"/>
        <v>9.571886645</v>
      </c>
      <c r="H15" s="7">
        <f>sumifS('11_매출정리'!$T:$T,'11_매출정리'!$A:$A,A15)</f>
        <v>125800</v>
      </c>
      <c r="I15" s="7">
        <f>sum(sumifs('11_매출정리'!$T:$T,'11_매출정리'!$F:$F,"클레임진행중",'11_매출정리'!$A:$A,$A15))</f>
        <v>0</v>
      </c>
      <c r="J15" s="7">
        <f t="shared" si="6"/>
        <v>125800</v>
      </c>
      <c r="K15" s="8">
        <f t="shared" si="5"/>
        <v>5.45107895</v>
      </c>
    </row>
    <row r="16">
      <c r="A16" s="9">
        <f t="shared" si="7"/>
        <v>45974</v>
      </c>
      <c r="B16" s="7">
        <f>sumifs('11_광고비정리'!$G:$G,'11_광고비정리'!$A:$A,A16)</f>
        <v>32395</v>
      </c>
      <c r="C16" s="7">
        <f>sumifS('11_광고비정리'!$H:$H,'11_광고비정리'!$A:$A,A16)</f>
        <v>4</v>
      </c>
      <c r="D16" s="7">
        <f>sumifs('11_광고비정리'!$J:$J,'11_광고비정리'!$A:$A,A16)</f>
        <v>159600</v>
      </c>
      <c r="E16" s="8">
        <f t="shared" si="3"/>
        <v>4.926686217</v>
      </c>
      <c r="F16" s="7">
        <f>sumifs('11_광고비정리'!$Y:$Y,'11_광고비정리'!$A:$A,A16)</f>
        <v>368800</v>
      </c>
      <c r="G16" s="8">
        <f t="shared" si="4"/>
        <v>11.38447291</v>
      </c>
      <c r="H16" s="7">
        <f>sumifS('11_매출정리'!$T:$T,'11_매출정리'!$A:$A,A16)</f>
        <v>79800</v>
      </c>
      <c r="I16" s="7">
        <f>sum(sumifs('11_매출정리'!$T:$T,'11_매출정리'!$F:$F,"클레임진행중",'11_매출정리'!$A:$A,$A16))</f>
        <v>0</v>
      </c>
      <c r="J16" s="7">
        <f t="shared" si="6"/>
        <v>79800</v>
      </c>
      <c r="K16" s="8">
        <f t="shared" si="5"/>
        <v>2.463343109</v>
      </c>
    </row>
    <row r="17">
      <c r="A17" s="9">
        <f t="shared" si="7"/>
        <v>45975</v>
      </c>
      <c r="B17" s="7">
        <f>sumifs('11_광고비정리'!$G:$G,'11_광고비정리'!$A:$A,A17)</f>
        <v>29997</v>
      </c>
      <c r="C17" s="7">
        <f>sumifS('11_광고비정리'!$H:$H,'11_광고비정리'!$A:$A,A17)</f>
        <v>2</v>
      </c>
      <c r="D17" s="7">
        <f>sumifs('11_광고비정리'!$J:$J,'11_광고비정리'!$A:$A,A17)</f>
        <v>30000</v>
      </c>
      <c r="E17" s="8">
        <f t="shared" si="3"/>
        <v>1.00010001</v>
      </c>
      <c r="F17" s="7">
        <f>sumifs('11_광고비정리'!$Y:$Y,'11_광고비정리'!$A:$A,A17)</f>
        <v>70000</v>
      </c>
      <c r="G17" s="8">
        <f t="shared" si="4"/>
        <v>2.33356669</v>
      </c>
      <c r="H17" s="7">
        <f>sumifS('11_매출정리'!$T:$T,'11_매출정리'!$A:$A,A17)</f>
        <v>15000</v>
      </c>
      <c r="I17" s="7">
        <f>sum(sumifs('11_매출정리'!$T:$T,'11_매출정리'!$F:$F,"클레임진행중",'11_매출정리'!$A:$A,$A17))</f>
        <v>0</v>
      </c>
      <c r="J17" s="7">
        <f t="shared" si="6"/>
        <v>15000</v>
      </c>
      <c r="K17" s="8">
        <f t="shared" si="5"/>
        <v>0.500050005</v>
      </c>
    </row>
    <row r="18">
      <c r="A18" s="9">
        <f t="shared" si="7"/>
        <v>45976</v>
      </c>
      <c r="B18" s="7">
        <f>sumifs('11_광고비정리'!$G:$G,'11_광고비정리'!$A:$A,A18)</f>
        <v>19536</v>
      </c>
      <c r="C18" s="7">
        <f>sumifS('11_광고비정리'!$H:$H,'11_광고비정리'!$A:$A,A18)</f>
        <v>2</v>
      </c>
      <c r="D18" s="7">
        <f>sumifs('11_광고비정리'!$J:$J,'11_광고비정리'!$A:$A,A18)</f>
        <v>38000</v>
      </c>
      <c r="E18" s="8">
        <f t="shared" si="3"/>
        <v>1.945126945</v>
      </c>
      <c r="F18" s="7">
        <f>sumifs('11_광고비정리'!$Y:$Y,'11_광고비정리'!$A:$A,A18)</f>
        <v>165800</v>
      </c>
      <c r="G18" s="8">
        <f t="shared" si="4"/>
        <v>8.486895987</v>
      </c>
      <c r="H18" s="7">
        <f>sumifS('11_매출정리'!$T:$T,'11_매출정리'!$A:$A,A18)</f>
        <v>18000</v>
      </c>
      <c r="I18" s="7">
        <f>sum(sumifs('11_매출정리'!$T:$T,'11_매출정리'!$F:$F,"클레임진행중",'11_매출정리'!$A:$A,$A18))</f>
        <v>0</v>
      </c>
      <c r="J18" s="7">
        <f t="shared" si="6"/>
        <v>18000</v>
      </c>
      <c r="K18" s="8">
        <f t="shared" si="5"/>
        <v>0.9213759214</v>
      </c>
    </row>
    <row r="19">
      <c r="A19" s="9">
        <f t="shared" si="7"/>
        <v>45977</v>
      </c>
      <c r="B19" s="7">
        <f>sumifs('11_광고비정리'!$G:$G,'11_광고비정리'!$A:$A,A19)</f>
        <v>29238</v>
      </c>
      <c r="C19" s="7">
        <f>sumifS('11_광고비정리'!$H:$H,'11_광고비정리'!$A:$A,A19)</f>
        <v>3</v>
      </c>
      <c r="D19" s="7">
        <f>sumifs('11_광고비정리'!$J:$J,'11_광고비정리'!$A:$A,A19)</f>
        <v>198900</v>
      </c>
      <c r="E19" s="8">
        <f t="shared" si="3"/>
        <v>6.802790889</v>
      </c>
      <c r="F19" s="7">
        <f>sumifs('11_광고비정리'!$Y:$Y,'11_광고비정리'!$A:$A,A19)</f>
        <v>239600</v>
      </c>
      <c r="G19" s="8">
        <f t="shared" si="4"/>
        <v>8.194814967</v>
      </c>
      <c r="H19" s="7">
        <f>sumifS('11_매출정리'!$T:$T,'11_매출정리'!$A:$A,A19)</f>
        <v>179000</v>
      </c>
      <c r="I19" s="7">
        <f>sum(sumifs('11_매출정리'!$T:$T,'11_매출정리'!$F:$F,"클레임진행중",'11_매출정리'!$A:$A,$A19))</f>
        <v>0</v>
      </c>
      <c r="J19" s="7">
        <f t="shared" si="6"/>
        <v>179000</v>
      </c>
      <c r="K19" s="8">
        <f t="shared" si="5"/>
        <v>6.122169779</v>
      </c>
    </row>
    <row r="20">
      <c r="A20" s="9">
        <f t="shared" si="7"/>
        <v>45978</v>
      </c>
      <c r="B20" s="7">
        <f>sumifs('11_광고비정리'!$G:$G,'11_광고비정리'!$A:$A,A20)</f>
        <v>35497</v>
      </c>
      <c r="C20" s="7">
        <f>sumifS('11_광고비정리'!$H:$H,'11_광고비정리'!$A:$A,A20)</f>
        <v>6</v>
      </c>
      <c r="D20" s="7">
        <f>sumifs('11_광고비정리'!$J:$J,'11_광고비정리'!$A:$A,A20)</f>
        <v>274900</v>
      </c>
      <c r="E20" s="8">
        <f t="shared" si="3"/>
        <v>7.744316421</v>
      </c>
      <c r="F20" s="7">
        <f>sumifs('11_광고비정리'!$Y:$Y,'11_광고비정리'!$A:$A,A20)</f>
        <v>812000</v>
      </c>
      <c r="G20" s="8">
        <f t="shared" si="4"/>
        <v>22.87517255</v>
      </c>
      <c r="H20" s="7">
        <f>sumifS('11_매출정리'!$T:$T,'11_매출정리'!$A:$A,A20)</f>
        <v>243900</v>
      </c>
      <c r="I20" s="7">
        <f>sum(sumifs('11_매출정리'!$T:$T,'11_매출정리'!$F:$F,"클레임진행중",'11_매출정리'!$A:$A,$A20))</f>
        <v>0</v>
      </c>
      <c r="J20" s="7">
        <f t="shared" si="6"/>
        <v>243900</v>
      </c>
      <c r="K20" s="8">
        <f t="shared" si="5"/>
        <v>6.871003183</v>
      </c>
    </row>
    <row r="21">
      <c r="A21" s="9">
        <f t="shared" si="7"/>
        <v>45979</v>
      </c>
      <c r="B21" s="7">
        <f>sumifs('11_광고비정리'!$G:$G,'11_광고비정리'!$A:$A,A21)</f>
        <v>74173</v>
      </c>
      <c r="C21" s="7">
        <f>sumifS('11_광고비정리'!$H:$H,'11_광고비정리'!$A:$A,A21)</f>
        <v>5</v>
      </c>
      <c r="D21" s="7">
        <f>sumifs('11_광고비정리'!$J:$J,'11_광고비정리'!$A:$A,A21)</f>
        <v>326000</v>
      </c>
      <c r="E21" s="8">
        <f t="shared" si="3"/>
        <v>4.395130303</v>
      </c>
      <c r="F21" s="7">
        <f>sumifs('11_광고비정리'!$Y:$Y,'11_광고비정리'!$A:$A,A21)</f>
        <v>471800</v>
      </c>
      <c r="G21" s="8">
        <f t="shared" si="4"/>
        <v>6.360805145</v>
      </c>
      <c r="H21" s="7">
        <f>sumifS('11_매출정리'!$T:$T,'11_매출정리'!$A:$A,A21)</f>
        <v>633900</v>
      </c>
      <c r="I21" s="7">
        <f>sum(sumifs('11_매출정리'!$T:$T,'11_매출정리'!$F:$F,"클레임진행중",'11_매출정리'!$A:$A,$A21))</f>
        <v>0</v>
      </c>
      <c r="J21" s="7">
        <f t="shared" si="6"/>
        <v>633900</v>
      </c>
      <c r="K21" s="8">
        <f t="shared" si="5"/>
        <v>8.546236501</v>
      </c>
    </row>
    <row r="22">
      <c r="A22" s="9">
        <f t="shared" si="7"/>
        <v>45980</v>
      </c>
      <c r="B22" s="7">
        <f>sumifs('11_광고비정리'!$G:$G,'11_광고비정리'!$A:$A,A22)</f>
        <v>51238</v>
      </c>
      <c r="C22" s="7">
        <f>sumifS('11_광고비정리'!$H:$H,'11_광고비정리'!$A:$A,A22)</f>
        <v>2</v>
      </c>
      <c r="D22" s="7">
        <f>sumifs('11_광고비정리'!$J:$J,'11_광고비정리'!$A:$A,A22)</f>
        <v>178000</v>
      </c>
      <c r="E22" s="8">
        <f t="shared" si="3"/>
        <v>3.473984152</v>
      </c>
      <c r="F22" s="7">
        <f>sumifs('11_광고비정리'!$Y:$Y,'11_광고비정리'!$A:$A,A22)</f>
        <v>186800</v>
      </c>
      <c r="G22" s="8">
        <f t="shared" si="4"/>
        <v>3.645731684</v>
      </c>
      <c r="H22" s="7">
        <f>sumifS('11_매출정리'!$T:$T,'11_매출정리'!$A:$A,A22)</f>
        <v>327200</v>
      </c>
      <c r="I22" s="7">
        <f>sum(sumifs('11_매출정리'!$T:$T,'11_매출정리'!$F:$F,"클레임진행중",'11_매출정리'!$A:$A,$A22))</f>
        <v>0</v>
      </c>
      <c r="J22" s="7">
        <f t="shared" si="6"/>
        <v>327200</v>
      </c>
      <c r="K22" s="8">
        <f t="shared" si="5"/>
        <v>6.385885476</v>
      </c>
    </row>
    <row r="23">
      <c r="A23" s="9">
        <f t="shared" si="7"/>
        <v>45981</v>
      </c>
      <c r="B23" s="7">
        <f>sumifs('11_광고비정리'!$G:$G,'11_광고비정리'!$A:$A,A23)</f>
        <v>59367</v>
      </c>
      <c r="C23" s="7">
        <f>sumifS('11_광고비정리'!$H:$H,'11_광고비정리'!$A:$A,A23)</f>
        <v>7</v>
      </c>
      <c r="D23" s="7">
        <f>sumifs('11_광고비정리'!$J:$J,'11_광고비정리'!$A:$A,A23)</f>
        <v>462700</v>
      </c>
      <c r="E23" s="8">
        <f t="shared" si="3"/>
        <v>7.79389223</v>
      </c>
      <c r="F23" s="7">
        <f>sumifs('11_광고비정리'!$Y:$Y,'11_광고비정리'!$A:$A,A23)</f>
        <v>901400</v>
      </c>
      <c r="G23" s="8">
        <f t="shared" si="4"/>
        <v>15.18351946</v>
      </c>
      <c r="H23" s="7">
        <f>sumifS('11_매출정리'!$T:$T,'11_매출정리'!$A:$A,A23)</f>
        <v>980500</v>
      </c>
      <c r="I23" s="7">
        <f>sum(sumifs('11_매출정리'!$T:$T,'11_매출정리'!$F:$F,"클레임진행중",'11_매출정리'!$A:$A,$A23))</f>
        <v>33000</v>
      </c>
      <c r="J23" s="7">
        <f t="shared" si="6"/>
        <v>947500</v>
      </c>
      <c r="K23" s="8">
        <f t="shared" si="5"/>
        <v>15.96004514</v>
      </c>
    </row>
    <row r="24">
      <c r="A24" s="9">
        <f t="shared" si="7"/>
        <v>45982</v>
      </c>
      <c r="B24" s="7">
        <f>sumifs('11_광고비정리'!$G:$G,'11_광고비정리'!$A:$A,A24)</f>
        <v>78243</v>
      </c>
      <c r="C24" s="7">
        <f>sumifS('11_광고비정리'!$H:$H,'11_광고비정리'!$A:$A,A24)</f>
        <v>10</v>
      </c>
      <c r="D24" s="7">
        <f>sumifs('11_광고비정리'!$J:$J,'11_광고비정리'!$A:$A,A24)</f>
        <v>332800</v>
      </c>
      <c r="E24" s="8">
        <f t="shared" si="3"/>
        <v>4.253415641</v>
      </c>
      <c r="F24" s="7">
        <f>sumifs('11_광고비정리'!$Y:$Y,'11_광고비정리'!$A:$A,A24)</f>
        <v>1209200</v>
      </c>
      <c r="G24" s="8">
        <f t="shared" si="4"/>
        <v>15.45441765</v>
      </c>
      <c r="H24" s="7">
        <f>sumifS('11_매출정리'!$T:$T,'11_매출정리'!$A:$A,A24)</f>
        <v>301800</v>
      </c>
      <c r="I24" s="7">
        <f>sum(sumifs('11_매출정리'!$T:$T,'11_매출정리'!$F:$F,"클레임진행중",'11_매출정리'!$A:$A,$A24))</f>
        <v>0</v>
      </c>
      <c r="J24" s="7">
        <f t="shared" si="6"/>
        <v>301800</v>
      </c>
      <c r="K24" s="8">
        <f t="shared" si="5"/>
        <v>3.857214064</v>
      </c>
    </row>
    <row r="25">
      <c r="A25" s="9">
        <f t="shared" si="7"/>
        <v>45983</v>
      </c>
      <c r="B25" s="7">
        <f>sumifs('11_광고비정리'!$G:$G,'11_광고비정리'!$A:$A,A25)</f>
        <v>65824</v>
      </c>
      <c r="C25" s="7">
        <f>sumifS('11_광고비정리'!$H:$H,'11_광고비정리'!$A:$A,A25)</f>
        <v>13</v>
      </c>
      <c r="D25" s="7">
        <f>sumifs('11_광고비정리'!$J:$J,'11_광고비정리'!$A:$A,A25)</f>
        <v>635200</v>
      </c>
      <c r="E25" s="8">
        <f t="shared" si="3"/>
        <v>9.649975693</v>
      </c>
      <c r="F25" s="7">
        <f>sumifs('11_광고비정리'!$Y:$Y,'11_광고비정리'!$A:$A,A25)</f>
        <v>585200</v>
      </c>
      <c r="G25" s="8">
        <f t="shared" si="4"/>
        <v>8.890374332</v>
      </c>
      <c r="H25" s="7">
        <f>sumifS('11_매출정리'!$T:$T,'11_매출정리'!$A:$A,A25)</f>
        <v>534300</v>
      </c>
      <c r="I25" s="7">
        <f>sum(sumifs('11_매출정리'!$T:$T,'11_매출정리'!$F:$F,"클레임진행중",'11_매출정리'!$A:$A,$A25))</f>
        <v>0</v>
      </c>
      <c r="J25" s="7">
        <f t="shared" si="6"/>
        <v>534300</v>
      </c>
      <c r="K25" s="8">
        <f t="shared" si="5"/>
        <v>8.117100146</v>
      </c>
    </row>
    <row r="26">
      <c r="A26" s="9">
        <f t="shared" si="7"/>
        <v>45984</v>
      </c>
      <c r="B26" s="7">
        <f>sumifs('11_광고비정리'!$G:$G,'11_광고비정리'!$A:$A,A26)</f>
        <v>60830</v>
      </c>
      <c r="C26" s="7">
        <f>sumifS('11_광고비정리'!$H:$H,'11_광고비정리'!$A:$A,A26)</f>
        <v>5</v>
      </c>
      <c r="D26" s="7">
        <f>sumifs('11_광고비정리'!$J:$J,'11_광고비정리'!$A:$A,A26)</f>
        <v>321300</v>
      </c>
      <c r="E26" s="8">
        <f t="shared" si="3"/>
        <v>5.281933257</v>
      </c>
      <c r="F26" s="7">
        <f>sumifs('11_광고비정리'!$Y:$Y,'11_광고비정리'!$A:$A,A26)</f>
        <v>746900</v>
      </c>
      <c r="G26" s="8">
        <f t="shared" si="4"/>
        <v>12.27848101</v>
      </c>
      <c r="H26" s="7">
        <f>sumifS('11_매출정리'!$T:$T,'11_매출정리'!$A:$A,A26)</f>
        <v>321300</v>
      </c>
      <c r="I26" s="7">
        <f>sum(sumifs('11_매출정리'!$T:$T,'11_매출정리'!$F:$F,"클레임진행중",'11_매출정리'!$A:$A,$A26))</f>
        <v>0</v>
      </c>
      <c r="J26" s="7">
        <f t="shared" si="6"/>
        <v>321300</v>
      </c>
      <c r="K26" s="8">
        <f t="shared" si="5"/>
        <v>5.281933257</v>
      </c>
    </row>
    <row r="27">
      <c r="A27" s="9">
        <f t="shared" si="7"/>
        <v>45985</v>
      </c>
      <c r="B27" s="7">
        <f>sumifs('11_광고비정리'!$G:$G,'11_광고비정리'!$A:$A,A27)</f>
        <v>61347</v>
      </c>
      <c r="C27" s="7">
        <f>sumifS('11_광고비정리'!$H:$H,'11_광고비정리'!$A:$A,A27)</f>
        <v>7</v>
      </c>
      <c r="D27" s="7">
        <f>sumifs('11_광고비정리'!$J:$J,'11_광고비정리'!$A:$A,A27)</f>
        <v>254800</v>
      </c>
      <c r="E27" s="8">
        <f t="shared" si="3"/>
        <v>4.153422335</v>
      </c>
      <c r="F27" s="7">
        <f>sumifs('11_광고비정리'!$Y:$Y,'11_광고비정리'!$A:$A,A27)</f>
        <v>571800</v>
      </c>
      <c r="G27" s="8">
        <f t="shared" si="4"/>
        <v>9.320749181</v>
      </c>
      <c r="H27" s="7">
        <f>sumifS('11_매출정리'!$T:$T,'11_매출정리'!$A:$A,A27)</f>
        <v>242700</v>
      </c>
      <c r="I27" s="7">
        <f>sum(sumifs('11_매출정리'!$T:$T,'11_매출정리'!$F:$F,"클레임진행중",'11_매출정리'!$A:$A,$A27))</f>
        <v>9900</v>
      </c>
      <c r="J27" s="7">
        <f t="shared" si="6"/>
        <v>232800</v>
      </c>
      <c r="K27" s="8">
        <f t="shared" si="5"/>
        <v>3.794806592</v>
      </c>
    </row>
    <row r="28">
      <c r="A28" s="9">
        <f t="shared" si="7"/>
        <v>45986</v>
      </c>
      <c r="B28" s="7">
        <f>sumifs('11_광고비정리'!$G:$G,'11_광고비정리'!$A:$A,A28)</f>
        <v>83666</v>
      </c>
      <c r="C28" s="7">
        <f>sumifS('11_광고비정리'!$H:$H,'11_광고비정리'!$A:$A,A28)</f>
        <v>10</v>
      </c>
      <c r="D28" s="7">
        <f>sumifs('11_광고비정리'!$J:$J,'11_광고비정리'!$A:$A,A28)</f>
        <v>593800</v>
      </c>
      <c r="E28" s="8">
        <f t="shared" si="3"/>
        <v>7.097267707</v>
      </c>
      <c r="F28" s="7">
        <f>sumifs('11_광고비정리'!$Y:$Y,'11_광고비정리'!$A:$A,A28)</f>
        <v>489800</v>
      </c>
      <c r="G28" s="8">
        <f t="shared" si="4"/>
        <v>5.854229914</v>
      </c>
      <c r="H28" s="7">
        <f>sumifS('11_매출정리'!$T:$T,'11_매출정리'!$A:$A,A28)</f>
        <v>664800</v>
      </c>
      <c r="I28" s="7">
        <f>sum(sumifs('11_매출정리'!$T:$T,'11_매출정리'!$F:$F,"클레임진행중",'11_매출정리'!$A:$A,$A28))</f>
        <v>48000</v>
      </c>
      <c r="J28" s="7">
        <f t="shared" si="6"/>
        <v>616800</v>
      </c>
      <c r="K28" s="8">
        <f t="shared" si="5"/>
        <v>7.372170296</v>
      </c>
    </row>
    <row r="29">
      <c r="A29" s="9">
        <f t="shared" si="7"/>
        <v>45987</v>
      </c>
      <c r="B29" s="7">
        <f>sumifs('11_광고비정리'!$G:$G,'11_광고비정리'!$A:$A,A29)</f>
        <v>56716</v>
      </c>
      <c r="C29" s="7">
        <f>sumifS('11_광고비정리'!$H:$H,'11_광고비정리'!$A:$A,A29)</f>
        <v>6</v>
      </c>
      <c r="D29" s="7">
        <f>sumifs('11_광고비정리'!$J:$J,'11_광고비정리'!$A:$A,A29)</f>
        <v>318800</v>
      </c>
      <c r="E29" s="8">
        <f t="shared" si="3"/>
        <v>5.620988786</v>
      </c>
      <c r="F29" s="7">
        <f>sumifs('11_광고비정리'!$Y:$Y,'11_광고비정리'!$A:$A,A29)</f>
        <v>757600</v>
      </c>
      <c r="G29" s="8">
        <f t="shared" si="4"/>
        <v>13.35778264</v>
      </c>
      <c r="H29" s="7">
        <f>sumifS('11_매출정리'!$T:$T,'11_매출정리'!$A:$A,A29)</f>
        <v>685700</v>
      </c>
      <c r="I29" s="7">
        <f>sum(sumifs('11_매출정리'!$T:$T,'11_매출정리'!$F:$F,"클레임진행중",'11_매출정리'!$A:$A,$A29))</f>
        <v>0</v>
      </c>
      <c r="J29" s="7">
        <f t="shared" si="6"/>
        <v>685700</v>
      </c>
      <c r="K29" s="8">
        <f t="shared" si="5"/>
        <v>12.09006277</v>
      </c>
    </row>
    <row r="30">
      <c r="A30" s="9">
        <f t="shared" si="7"/>
        <v>45988</v>
      </c>
      <c r="B30" s="7">
        <f>sumifs('11_광고비정리'!$G:$G,'11_광고비정리'!$A:$A,A30)</f>
        <v>72413</v>
      </c>
      <c r="C30" s="7">
        <f>sumifS('11_광고비정리'!$H:$H,'11_광고비정리'!$A:$A,A30)</f>
        <v>8</v>
      </c>
      <c r="D30" s="7">
        <f>sumifs('11_광고비정리'!$J:$J,'11_광고비정리'!$A:$A,A30)</f>
        <v>411600</v>
      </c>
      <c r="E30" s="8">
        <f t="shared" si="3"/>
        <v>5.684062254</v>
      </c>
      <c r="F30" s="7">
        <f>sumifs('11_광고비정리'!$Y:$Y,'11_광고비정리'!$A:$A,A30)</f>
        <v>582100</v>
      </c>
      <c r="G30" s="8">
        <f t="shared" si="4"/>
        <v>8.038611851</v>
      </c>
      <c r="H30" s="7">
        <f>sumifS('11_매출정리'!$T:$T,'11_매출정리'!$A:$A,A30)</f>
        <v>525600</v>
      </c>
      <c r="I30" s="7">
        <f>sum(sumifs('11_매출정리'!$T:$T,'11_매출정리'!$F:$F,"클레임진행중",'11_매출정리'!$A:$A,$A30))</f>
        <v>0</v>
      </c>
      <c r="J30" s="7">
        <f t="shared" si="6"/>
        <v>525600</v>
      </c>
      <c r="K30" s="8">
        <f t="shared" si="5"/>
        <v>7.258365211</v>
      </c>
    </row>
    <row r="31">
      <c r="A31" s="9">
        <f t="shared" si="7"/>
        <v>45989</v>
      </c>
      <c r="B31" s="7">
        <f>sumifs('11_광고비정리'!$G:$G,'11_광고비정리'!$A:$A,A31)</f>
        <v>77704</v>
      </c>
      <c r="C31" s="7">
        <f>sumifS('11_광고비정리'!$H:$H,'11_광고비정리'!$A:$A,A31)</f>
        <v>7</v>
      </c>
      <c r="D31" s="7">
        <f>sumifs('11_광고비정리'!$J:$J,'11_광고비정리'!$A:$A,A31)</f>
        <v>472000</v>
      </c>
      <c r="E31" s="8">
        <f t="shared" si="3"/>
        <v>6.074333368</v>
      </c>
      <c r="F31" s="7">
        <f>sumifs('11_광고비정리'!$Y:$Y,'11_광고비정리'!$A:$A,A31)</f>
        <v>1244500</v>
      </c>
      <c r="G31" s="8">
        <f t="shared" si="4"/>
        <v>16.01590652</v>
      </c>
      <c r="H31" s="7">
        <f>sumifS('11_매출정리'!$T:$T,'11_매출정리'!$A:$A,A31)</f>
        <v>531000</v>
      </c>
      <c r="I31" s="7">
        <f>sum(sumifs('11_매출정리'!$T:$T,'11_매출정리'!$F:$F,"클레임진행중",'11_매출정리'!$A:$A,$A31))</f>
        <v>0</v>
      </c>
      <c r="J31" s="7">
        <f t="shared" si="6"/>
        <v>531000</v>
      </c>
      <c r="K31" s="8">
        <f t="shared" si="5"/>
        <v>6.833625039</v>
      </c>
    </row>
    <row r="32">
      <c r="A32" s="9">
        <f t="shared" si="7"/>
        <v>45990</v>
      </c>
      <c r="B32" s="7">
        <f>sumifs('11_광고비정리'!$G:$G,'11_광고비정리'!$A:$A,A32)</f>
        <v>58982</v>
      </c>
      <c r="C32" s="7">
        <f>sumifS('11_광고비정리'!$H:$H,'11_광고비정리'!$A:$A,A32)</f>
        <v>9</v>
      </c>
      <c r="D32" s="7">
        <f>sumifs('11_광고비정리'!$J:$J,'11_광고비정리'!$A:$A,A32)</f>
        <v>765700</v>
      </c>
      <c r="E32" s="8">
        <f t="shared" si="3"/>
        <v>12.98192669</v>
      </c>
      <c r="F32" s="7">
        <f>sumifs('11_광고비정리'!$Y:$Y,'11_광고비정리'!$A:$A,A32)</f>
        <v>657800</v>
      </c>
      <c r="G32" s="8">
        <f t="shared" si="4"/>
        <v>11.15255502</v>
      </c>
      <c r="H32" s="7">
        <f>sumifS('11_매출정리'!$T:$T,'11_매출정리'!$A:$A,A32)</f>
        <v>845700</v>
      </c>
      <c r="I32" s="7">
        <f>sum(sumifs('11_매출정리'!$T:$T,'11_매출정리'!$F:$F,"클레임진행중",'11_매출정리'!$A:$A,$A32))</f>
        <v>0</v>
      </c>
      <c r="J32" s="7">
        <f t="shared" si="6"/>
        <v>845700</v>
      </c>
      <c r="K32" s="8">
        <f t="shared" si="5"/>
        <v>14.33827269</v>
      </c>
    </row>
    <row r="33">
      <c r="A33" s="9">
        <f t="shared" si="7"/>
        <v>45991</v>
      </c>
      <c r="B33" s="7">
        <f>sumifs('11_광고비정리'!$G:$G,'11_광고비정리'!$A:$A,A33)</f>
        <v>76406</v>
      </c>
      <c r="C33" s="7">
        <f>sumifS('11_광고비정리'!$H:$H,'11_광고비정리'!$A:$A,A33)</f>
        <v>6</v>
      </c>
      <c r="D33" s="7">
        <f>sumifs('11_광고비정리'!$J:$J,'11_광고비정리'!$A:$A,A33)</f>
        <v>507900</v>
      </c>
      <c r="E33" s="8">
        <f t="shared" si="3"/>
        <v>6.647383713</v>
      </c>
      <c r="F33" s="7">
        <f>sumifs('11_광고비정리'!$Y:$Y,'11_광고비정리'!$A:$A,A33)</f>
        <v>697700</v>
      </c>
      <c r="G33" s="8">
        <f t="shared" si="4"/>
        <v>9.131481821</v>
      </c>
      <c r="H33" s="7">
        <f>sumifS('11_매출정리'!$T:$T,'11_매출정리'!$A:$A,A33)</f>
        <v>519900</v>
      </c>
      <c r="I33" s="7">
        <f>sum(sumifs('11_매출정리'!$T:$T,'11_매출정리'!$F:$F,"클레임진행중",'11_매출정리'!$A:$A,$A33))</f>
        <v>0</v>
      </c>
      <c r="J33" s="7">
        <f t="shared" si="6"/>
        <v>519900</v>
      </c>
      <c r="K33" s="8">
        <f t="shared" si="5"/>
        <v>6.804439442</v>
      </c>
    </row>
    <row r="34">
      <c r="A34" s="9">
        <f t="shared" si="7"/>
        <v>45992</v>
      </c>
      <c r="B34" s="7">
        <f>sumifs('11_광고비정리'!$G:$G,'11_광고비정리'!$A:$A,A34)</f>
        <v>0</v>
      </c>
      <c r="C34" s="7">
        <f>sumifS('11_광고비정리'!$H:$H,'11_광고비정리'!$A:$A,A34)</f>
        <v>0</v>
      </c>
      <c r="D34" s="7">
        <f>sumifs('11_광고비정리'!$J:$J,'11_광고비정리'!$A:$A,A34)</f>
        <v>0</v>
      </c>
      <c r="E34" s="8">
        <f t="shared" si="3"/>
        <v>0</v>
      </c>
      <c r="F34" s="7">
        <f>sumifs('11_광고비정리'!$Y:$Y,'11_광고비정리'!$A:$A,A34)</f>
        <v>0</v>
      </c>
      <c r="G34" s="8">
        <f t="shared" si="4"/>
        <v>0</v>
      </c>
      <c r="H34" s="7">
        <f>sumifS('11_매출정리'!$T:$T,'11_매출정리'!$A:$A,A34)</f>
        <v>0</v>
      </c>
      <c r="I34" s="7">
        <f>sum(sumifs('11_매출정리'!$T:$T,'11_매출정리'!$F:$F,"클레임진행중",'11_매출정리'!$A:$A,$A34))</f>
        <v>0</v>
      </c>
      <c r="J34" s="7">
        <f t="shared" si="6"/>
        <v>0</v>
      </c>
      <c r="K34" s="8">
        <f t="shared" si="5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</row>
    <row r="2">
      <c r="A2" s="14">
        <f t="shared" ref="A2:A1000" si="1">iferror(date(year(L2),month(L2),day(L2)),"날짜")</f>
        <v>45991</v>
      </c>
      <c r="B2" s="15" t="s">
        <v>29</v>
      </c>
      <c r="C2" s="15" t="s">
        <v>30</v>
      </c>
      <c r="D2" s="15" t="s">
        <v>31</v>
      </c>
      <c r="E2" s="16">
        <v>4.374490737E9</v>
      </c>
      <c r="F2" s="15">
        <v>2.10684596E9</v>
      </c>
      <c r="G2" s="15" t="s">
        <v>32</v>
      </c>
      <c r="H2" s="15" t="s">
        <v>33</v>
      </c>
      <c r="I2" s="15" t="s">
        <v>33</v>
      </c>
      <c r="J2" s="16">
        <v>34900.0</v>
      </c>
      <c r="K2" s="16">
        <v>1.0</v>
      </c>
      <c r="L2" s="17">
        <v>45991.98979166667</v>
      </c>
      <c r="M2" s="18"/>
      <c r="N2" s="18"/>
      <c r="O2" s="18"/>
      <c r="P2" s="18"/>
      <c r="Q2" s="18"/>
      <c r="R2" s="18"/>
      <c r="S2" s="18"/>
      <c r="T2" s="18"/>
      <c r="U2" s="18"/>
    </row>
    <row r="3">
      <c r="A3" s="14">
        <f t="shared" si="1"/>
        <v>45991</v>
      </c>
      <c r="B3" s="15" t="s">
        <v>29</v>
      </c>
      <c r="C3" s="15" t="s">
        <v>30</v>
      </c>
      <c r="D3" s="15" t="s">
        <v>34</v>
      </c>
      <c r="E3" s="16">
        <v>4.374464459E9</v>
      </c>
      <c r="F3" s="15">
        <v>4.180306338E9</v>
      </c>
      <c r="G3" s="15" t="s">
        <v>35</v>
      </c>
      <c r="H3" s="15" t="s">
        <v>36</v>
      </c>
      <c r="I3" s="15" t="s">
        <v>36</v>
      </c>
      <c r="J3" s="16">
        <v>65000.0</v>
      </c>
      <c r="K3" s="16">
        <v>1.0</v>
      </c>
      <c r="L3" s="17">
        <v>45991.95238425926</v>
      </c>
      <c r="M3" s="18"/>
      <c r="N3" s="18"/>
      <c r="O3" s="18"/>
      <c r="P3" s="18"/>
      <c r="Q3" s="18"/>
      <c r="R3" s="18"/>
      <c r="S3" s="18"/>
      <c r="T3" s="18"/>
      <c r="U3" s="18"/>
    </row>
    <row r="4">
      <c r="A4" s="14">
        <f t="shared" si="1"/>
        <v>45991</v>
      </c>
      <c r="B4" s="15" t="s">
        <v>29</v>
      </c>
      <c r="C4" s="15" t="s">
        <v>30</v>
      </c>
      <c r="D4" s="15" t="s">
        <v>37</v>
      </c>
      <c r="E4" s="16">
        <v>4.374459371E9</v>
      </c>
      <c r="F4" s="15">
        <v>4.188494215E9</v>
      </c>
      <c r="G4" s="15" t="s">
        <v>38</v>
      </c>
      <c r="H4" s="15" t="s">
        <v>39</v>
      </c>
      <c r="I4" s="15" t="s">
        <v>39</v>
      </c>
      <c r="J4" s="16">
        <v>24900.0</v>
      </c>
      <c r="K4" s="16">
        <v>1.0</v>
      </c>
      <c r="L4" s="17">
        <v>45991.94459490741</v>
      </c>
      <c r="M4" s="18"/>
      <c r="N4" s="18"/>
      <c r="O4" s="18"/>
      <c r="P4" s="18"/>
      <c r="Q4" s="18"/>
      <c r="R4" s="18"/>
      <c r="S4" s="18"/>
      <c r="T4" s="18"/>
      <c r="U4" s="18"/>
    </row>
    <row r="5">
      <c r="A5" s="14">
        <f t="shared" si="1"/>
        <v>45991</v>
      </c>
      <c r="B5" s="15" t="s">
        <v>29</v>
      </c>
      <c r="C5" s="15" t="s">
        <v>40</v>
      </c>
      <c r="D5" s="15" t="s">
        <v>41</v>
      </c>
      <c r="E5" s="16">
        <v>2.541561826E9</v>
      </c>
      <c r="F5" s="15" t="s">
        <v>42</v>
      </c>
      <c r="G5" s="15" t="s">
        <v>43</v>
      </c>
      <c r="H5" s="15" t="s">
        <v>44</v>
      </c>
      <c r="I5" s="15" t="s">
        <v>44</v>
      </c>
      <c r="J5" s="16">
        <v>59000.0</v>
      </c>
      <c r="K5" s="16">
        <v>1.0</v>
      </c>
      <c r="L5" s="17">
        <v>45991.93680555555</v>
      </c>
      <c r="M5" s="18"/>
      <c r="N5" s="18"/>
      <c r="O5" s="18"/>
      <c r="P5" s="18"/>
      <c r="Q5" s="18"/>
      <c r="R5" s="18"/>
      <c r="S5" s="18"/>
      <c r="T5" s="18"/>
      <c r="U5" s="18"/>
    </row>
    <row r="6">
      <c r="A6" s="14">
        <f t="shared" si="1"/>
        <v>45991</v>
      </c>
      <c r="B6" s="15" t="s">
        <v>29</v>
      </c>
      <c r="C6" s="15" t="s">
        <v>30</v>
      </c>
      <c r="D6" s="15" t="s">
        <v>45</v>
      </c>
      <c r="E6" s="16">
        <v>4.374453826E9</v>
      </c>
      <c r="F6" s="15">
        <v>4.180306338E9</v>
      </c>
      <c r="G6" s="15" t="s">
        <v>35</v>
      </c>
      <c r="H6" s="15" t="s">
        <v>46</v>
      </c>
      <c r="I6" s="15" t="s">
        <v>46</v>
      </c>
      <c r="J6" s="16">
        <v>65000.0</v>
      </c>
      <c r="K6" s="16">
        <v>1.0</v>
      </c>
      <c r="L6" s="17">
        <v>45991.93614583334</v>
      </c>
      <c r="M6" s="18"/>
      <c r="N6" s="18"/>
      <c r="O6" s="18"/>
      <c r="P6" s="18"/>
      <c r="Q6" s="18"/>
      <c r="R6" s="18"/>
      <c r="S6" s="18"/>
      <c r="T6" s="18"/>
      <c r="U6" s="18"/>
    </row>
    <row r="7">
      <c r="A7" s="14">
        <f t="shared" si="1"/>
        <v>45991</v>
      </c>
      <c r="B7" s="15" t="s">
        <v>47</v>
      </c>
      <c r="C7" s="15" t="s">
        <v>30</v>
      </c>
      <c r="D7" s="15" t="s">
        <v>48</v>
      </c>
      <c r="E7" s="16">
        <v>4.374423308E9</v>
      </c>
      <c r="F7" s="15">
        <v>4.180303895E9</v>
      </c>
      <c r="G7" s="15" t="s">
        <v>43</v>
      </c>
      <c r="H7" s="15" t="s">
        <v>49</v>
      </c>
      <c r="I7" s="15" t="s">
        <v>49</v>
      </c>
      <c r="J7" s="16">
        <v>59000.0</v>
      </c>
      <c r="K7" s="16">
        <v>1.0</v>
      </c>
      <c r="L7" s="17">
        <v>45991.88841435185</v>
      </c>
      <c r="M7" s="18"/>
      <c r="N7" s="18"/>
      <c r="O7" s="18"/>
      <c r="P7" s="18"/>
      <c r="Q7" s="18"/>
      <c r="R7" s="18"/>
      <c r="S7" s="18"/>
      <c r="T7" s="18"/>
      <c r="U7" s="18"/>
    </row>
    <row r="8">
      <c r="A8" s="14">
        <f t="shared" si="1"/>
        <v>45991</v>
      </c>
      <c r="B8" s="15" t="s">
        <v>50</v>
      </c>
      <c r="C8" s="15" t="s">
        <v>40</v>
      </c>
      <c r="D8" s="15" t="s">
        <v>51</v>
      </c>
      <c r="E8" s="16">
        <v>2.541548433E9</v>
      </c>
      <c r="F8" s="15" t="s">
        <v>42</v>
      </c>
      <c r="G8" s="15" t="s">
        <v>43</v>
      </c>
      <c r="H8" s="15" t="s">
        <v>52</v>
      </c>
      <c r="I8" s="15" t="s">
        <v>53</v>
      </c>
      <c r="J8" s="16">
        <v>59000.0</v>
      </c>
      <c r="K8" s="16">
        <v>1.0</v>
      </c>
      <c r="L8" s="17">
        <v>45991.87569444445</v>
      </c>
      <c r="M8" s="18"/>
      <c r="N8" s="18"/>
      <c r="O8" s="18"/>
      <c r="P8" s="18"/>
      <c r="Q8" s="18"/>
      <c r="R8" s="18"/>
      <c r="S8" s="18"/>
      <c r="T8" s="18"/>
      <c r="U8" s="18"/>
    </row>
    <row r="9">
      <c r="A9" s="14">
        <f t="shared" si="1"/>
        <v>45991</v>
      </c>
      <c r="B9" s="15" t="s">
        <v>29</v>
      </c>
      <c r="C9" s="15" t="s">
        <v>30</v>
      </c>
      <c r="D9" s="15" t="s">
        <v>54</v>
      </c>
      <c r="E9" s="16">
        <v>4.374383906E9</v>
      </c>
      <c r="F9" s="15">
        <v>1.784307306E9</v>
      </c>
      <c r="G9" s="15" t="s">
        <v>55</v>
      </c>
      <c r="H9" s="15" t="s">
        <v>56</v>
      </c>
      <c r="I9" s="15" t="s">
        <v>56</v>
      </c>
      <c r="J9" s="16">
        <v>47900.0</v>
      </c>
      <c r="K9" s="16">
        <v>1.0</v>
      </c>
      <c r="L9" s="17">
        <v>45991.8178125</v>
      </c>
      <c r="M9" s="19"/>
      <c r="N9" s="18"/>
      <c r="O9" s="18"/>
      <c r="P9" s="18"/>
      <c r="Q9" s="18"/>
      <c r="R9" s="18"/>
      <c r="S9" s="18"/>
      <c r="T9" s="18"/>
      <c r="U9" s="18"/>
    </row>
    <row r="10">
      <c r="A10" s="14">
        <f t="shared" si="1"/>
        <v>45991</v>
      </c>
      <c r="B10" s="15" t="s">
        <v>29</v>
      </c>
      <c r="C10" s="15" t="s">
        <v>30</v>
      </c>
      <c r="D10" s="15" t="s">
        <v>57</v>
      </c>
      <c r="E10" s="16">
        <v>4.374336116E9</v>
      </c>
      <c r="F10" s="15">
        <v>4.113880902E9</v>
      </c>
      <c r="G10" s="15" t="s">
        <v>58</v>
      </c>
      <c r="H10" s="15" t="s">
        <v>59</v>
      </c>
      <c r="I10" s="15" t="s">
        <v>59</v>
      </c>
      <c r="J10" s="16">
        <v>14500.0</v>
      </c>
      <c r="K10" s="16">
        <v>1.0</v>
      </c>
      <c r="L10" s="17">
        <v>45991.69648148148</v>
      </c>
      <c r="M10" s="19"/>
      <c r="N10" s="18"/>
      <c r="O10" s="18"/>
      <c r="P10" s="18"/>
      <c r="Q10" s="18"/>
      <c r="R10" s="18"/>
      <c r="S10" s="18"/>
      <c r="T10" s="18"/>
      <c r="U10" s="18"/>
    </row>
    <row r="11">
      <c r="A11" s="14">
        <f t="shared" si="1"/>
        <v>45991</v>
      </c>
      <c r="B11" s="15" t="s">
        <v>29</v>
      </c>
      <c r="C11" s="15" t="s">
        <v>30</v>
      </c>
      <c r="D11" s="15" t="s">
        <v>60</v>
      </c>
      <c r="E11" s="16">
        <v>4.374325405E9</v>
      </c>
      <c r="F11" s="15">
        <v>2.82227251E9</v>
      </c>
      <c r="G11" s="15" t="s">
        <v>61</v>
      </c>
      <c r="H11" s="15" t="s">
        <v>62</v>
      </c>
      <c r="I11" s="15" t="s">
        <v>62</v>
      </c>
      <c r="J11" s="16">
        <v>31500.0</v>
      </c>
      <c r="K11" s="16">
        <v>1.0</v>
      </c>
      <c r="L11" s="17">
        <v>45991.66622685185</v>
      </c>
      <c r="M11" s="19"/>
      <c r="N11" s="18"/>
      <c r="O11" s="18"/>
      <c r="P11" s="18"/>
      <c r="Q11" s="18"/>
      <c r="R11" s="18"/>
      <c r="S11" s="18"/>
      <c r="T11" s="18"/>
      <c r="U11" s="18"/>
    </row>
    <row r="12">
      <c r="A12" s="14">
        <f t="shared" si="1"/>
        <v>45990</v>
      </c>
      <c r="B12" s="15" t="s">
        <v>29</v>
      </c>
      <c r="C12" s="15" t="s">
        <v>30</v>
      </c>
      <c r="D12" s="15" t="s">
        <v>63</v>
      </c>
      <c r="E12" s="16">
        <v>4.374170515E9</v>
      </c>
      <c r="F12" s="15">
        <v>3.252522586E9</v>
      </c>
      <c r="G12" s="15" t="s">
        <v>64</v>
      </c>
      <c r="H12" s="15" t="s">
        <v>65</v>
      </c>
      <c r="I12" s="15" t="s">
        <v>65</v>
      </c>
      <c r="J12" s="16">
        <v>43900.0</v>
      </c>
      <c r="K12" s="16">
        <v>1.0</v>
      </c>
      <c r="L12" s="17">
        <v>45990.95203703704</v>
      </c>
      <c r="M12" s="20"/>
      <c r="N12" s="18"/>
      <c r="O12" s="18"/>
      <c r="P12" s="18"/>
      <c r="Q12" s="18"/>
      <c r="R12" s="18"/>
      <c r="S12" s="18"/>
      <c r="T12" s="18"/>
      <c r="U12" s="18"/>
    </row>
    <row r="13">
      <c r="A13" s="14">
        <f t="shared" si="1"/>
        <v>45990</v>
      </c>
      <c r="B13" s="15" t="s">
        <v>47</v>
      </c>
      <c r="C13" s="15" t="s">
        <v>30</v>
      </c>
      <c r="D13" s="15" t="s">
        <v>66</v>
      </c>
      <c r="E13" s="16">
        <v>4.374150309E9</v>
      </c>
      <c r="F13" s="15">
        <v>4.544686745E9</v>
      </c>
      <c r="G13" s="15" t="s">
        <v>67</v>
      </c>
      <c r="H13" s="15" t="s">
        <v>68</v>
      </c>
      <c r="I13" s="15" t="s">
        <v>69</v>
      </c>
      <c r="J13" s="16">
        <v>119000.0</v>
      </c>
      <c r="K13" s="16">
        <v>1.0</v>
      </c>
      <c r="L13" s="17">
        <v>45990.8972337963</v>
      </c>
      <c r="M13" s="20"/>
      <c r="N13" s="18"/>
      <c r="O13" s="18"/>
      <c r="P13" s="18"/>
      <c r="Q13" s="18"/>
      <c r="R13" s="18"/>
      <c r="S13" s="18"/>
      <c r="T13" s="18"/>
      <c r="U13" s="18"/>
    </row>
    <row r="14">
      <c r="A14" s="14">
        <f t="shared" si="1"/>
        <v>45990</v>
      </c>
      <c r="B14" s="15" t="s">
        <v>29</v>
      </c>
      <c r="C14" s="15" t="s">
        <v>30</v>
      </c>
      <c r="D14" s="15" t="s">
        <v>70</v>
      </c>
      <c r="E14" s="16">
        <v>4.374121722E9</v>
      </c>
      <c r="F14" s="15">
        <v>4.180306338E9</v>
      </c>
      <c r="G14" s="15" t="s">
        <v>35</v>
      </c>
      <c r="H14" s="15" t="s">
        <v>71</v>
      </c>
      <c r="I14" s="15" t="s">
        <v>71</v>
      </c>
      <c r="J14" s="16">
        <v>65000.0</v>
      </c>
      <c r="K14" s="16">
        <v>1.0</v>
      </c>
      <c r="L14" s="17">
        <v>45990.81527777778</v>
      </c>
      <c r="M14" s="20"/>
      <c r="N14" s="18"/>
      <c r="O14" s="18"/>
      <c r="P14" s="18"/>
      <c r="Q14" s="18"/>
      <c r="R14" s="18"/>
      <c r="S14" s="18"/>
      <c r="T14" s="18"/>
      <c r="U14" s="18"/>
    </row>
    <row r="15">
      <c r="A15" s="14">
        <f t="shared" si="1"/>
        <v>45990</v>
      </c>
      <c r="B15" s="15" t="s">
        <v>29</v>
      </c>
      <c r="C15" s="15" t="s">
        <v>40</v>
      </c>
      <c r="D15" s="15" t="s">
        <v>72</v>
      </c>
      <c r="E15" s="16">
        <v>2.541439808E9</v>
      </c>
      <c r="F15" s="15" t="s">
        <v>42</v>
      </c>
      <c r="G15" s="15" t="s">
        <v>43</v>
      </c>
      <c r="H15" s="15" t="s">
        <v>73</v>
      </c>
      <c r="I15" s="15" t="s">
        <v>74</v>
      </c>
      <c r="J15" s="16">
        <v>59000.0</v>
      </c>
      <c r="K15" s="16">
        <v>1.0</v>
      </c>
      <c r="L15" s="17">
        <v>45990.80138888889</v>
      </c>
      <c r="M15" s="20"/>
      <c r="N15" s="18"/>
      <c r="O15" s="18"/>
      <c r="P15" s="18"/>
      <c r="Q15" s="18"/>
      <c r="R15" s="18"/>
      <c r="S15" s="18"/>
      <c r="T15" s="18"/>
      <c r="U15" s="18"/>
    </row>
    <row r="16">
      <c r="A16" s="14">
        <f t="shared" si="1"/>
        <v>45990</v>
      </c>
      <c r="B16" s="15" t="s">
        <v>29</v>
      </c>
      <c r="C16" s="15" t="s">
        <v>40</v>
      </c>
      <c r="D16" s="15" t="s">
        <v>75</v>
      </c>
      <c r="E16" s="16">
        <v>2.541433041E9</v>
      </c>
      <c r="F16" s="15" t="s">
        <v>42</v>
      </c>
      <c r="G16" s="15" t="s">
        <v>43</v>
      </c>
      <c r="H16" s="15" t="s">
        <v>76</v>
      </c>
      <c r="I16" s="15" t="s">
        <v>77</v>
      </c>
      <c r="J16" s="16">
        <v>59000.0</v>
      </c>
      <c r="K16" s="16">
        <v>1.0</v>
      </c>
      <c r="L16" s="17">
        <v>45990.731944444444</v>
      </c>
      <c r="M16" s="20"/>
      <c r="N16" s="18"/>
      <c r="O16" s="18"/>
      <c r="P16" s="18"/>
      <c r="Q16" s="18"/>
      <c r="R16" s="18"/>
      <c r="S16" s="18"/>
      <c r="T16" s="18"/>
      <c r="U16" s="18"/>
    </row>
    <row r="17">
      <c r="A17" s="14">
        <f t="shared" si="1"/>
        <v>45990</v>
      </c>
      <c r="B17" s="15" t="s">
        <v>29</v>
      </c>
      <c r="C17" s="15" t="s">
        <v>40</v>
      </c>
      <c r="D17" s="15" t="s">
        <v>78</v>
      </c>
      <c r="E17" s="16">
        <v>2.541415252E9</v>
      </c>
      <c r="F17" s="15" t="s">
        <v>42</v>
      </c>
      <c r="G17" s="15" t="s">
        <v>43</v>
      </c>
      <c r="H17" s="15" t="s">
        <v>79</v>
      </c>
      <c r="I17" s="15" t="s">
        <v>79</v>
      </c>
      <c r="J17" s="16">
        <v>59000.0</v>
      </c>
      <c r="K17" s="16">
        <v>1.0</v>
      </c>
      <c r="L17" s="17">
        <v>45990.55486111111</v>
      </c>
      <c r="M17" s="20"/>
      <c r="N17" s="18"/>
      <c r="O17" s="18"/>
      <c r="P17" s="18"/>
      <c r="Q17" s="18"/>
      <c r="R17" s="18"/>
      <c r="S17" s="18"/>
      <c r="T17" s="18"/>
      <c r="U17" s="18"/>
    </row>
    <row r="18">
      <c r="A18" s="14">
        <f t="shared" si="1"/>
        <v>45990</v>
      </c>
      <c r="B18" s="15" t="s">
        <v>29</v>
      </c>
      <c r="C18" s="15" t="s">
        <v>30</v>
      </c>
      <c r="D18" s="15" t="s">
        <v>80</v>
      </c>
      <c r="E18" s="16">
        <v>4.374027264E9</v>
      </c>
      <c r="F18" s="15">
        <v>2.702301401E9</v>
      </c>
      <c r="G18" s="15" t="s">
        <v>81</v>
      </c>
      <c r="H18" s="15" t="s">
        <v>82</v>
      </c>
      <c r="I18" s="15" t="s">
        <v>82</v>
      </c>
      <c r="J18" s="16">
        <v>29900.0</v>
      </c>
      <c r="K18" s="16">
        <v>1.0</v>
      </c>
      <c r="L18" s="17">
        <v>45990.48416666667</v>
      </c>
      <c r="M18" s="20"/>
      <c r="N18" s="18"/>
      <c r="O18" s="18"/>
      <c r="P18" s="18"/>
      <c r="Q18" s="18"/>
      <c r="R18" s="18"/>
      <c r="S18" s="18"/>
      <c r="T18" s="18"/>
      <c r="U18" s="18"/>
    </row>
    <row r="19">
      <c r="A19" s="14">
        <f t="shared" si="1"/>
        <v>45990</v>
      </c>
      <c r="B19" s="15" t="s">
        <v>29</v>
      </c>
      <c r="C19" s="15" t="s">
        <v>30</v>
      </c>
      <c r="D19" s="15" t="s">
        <v>83</v>
      </c>
      <c r="E19" s="16">
        <v>4.373999598E9</v>
      </c>
      <c r="F19" s="15">
        <v>4.113888539E9</v>
      </c>
      <c r="G19" s="15" t="s">
        <v>84</v>
      </c>
      <c r="H19" s="15" t="s">
        <v>85</v>
      </c>
      <c r="I19" s="15" t="s">
        <v>85</v>
      </c>
      <c r="J19" s="16">
        <v>14500.0</v>
      </c>
      <c r="K19" s="16">
        <v>1.0</v>
      </c>
      <c r="L19" s="17">
        <v>45990.40053240741</v>
      </c>
      <c r="M19" s="20"/>
      <c r="N19" s="18"/>
      <c r="O19" s="18"/>
      <c r="P19" s="18"/>
      <c r="Q19" s="18"/>
      <c r="R19" s="18"/>
      <c r="S19" s="18"/>
      <c r="T19" s="18"/>
      <c r="U19" s="18"/>
    </row>
    <row r="20">
      <c r="A20" s="14">
        <f t="shared" si="1"/>
        <v>45990</v>
      </c>
      <c r="B20" s="15" t="s">
        <v>29</v>
      </c>
      <c r="C20" s="15" t="s">
        <v>30</v>
      </c>
      <c r="D20" s="15" t="s">
        <v>86</v>
      </c>
      <c r="E20" s="16">
        <v>4.373973186E9</v>
      </c>
      <c r="F20" s="15">
        <v>4.180306338E9</v>
      </c>
      <c r="G20" s="15" t="s">
        <v>35</v>
      </c>
      <c r="H20" s="15" t="s">
        <v>87</v>
      </c>
      <c r="I20" s="15" t="s">
        <v>87</v>
      </c>
      <c r="J20" s="16">
        <v>65000.0</v>
      </c>
      <c r="K20" s="16">
        <v>1.0</v>
      </c>
      <c r="L20" s="17">
        <v>45990.235243055555</v>
      </c>
      <c r="M20" s="20"/>
      <c r="N20" s="18"/>
      <c r="O20" s="18"/>
      <c r="P20" s="18"/>
      <c r="Q20" s="18"/>
      <c r="R20" s="18"/>
      <c r="S20" s="18"/>
      <c r="T20" s="18"/>
      <c r="U20" s="18"/>
    </row>
    <row r="21">
      <c r="A21" s="14">
        <f t="shared" si="1"/>
        <v>45990</v>
      </c>
      <c r="B21" s="15" t="s">
        <v>29</v>
      </c>
      <c r="C21" s="15" t="s">
        <v>30</v>
      </c>
      <c r="D21" s="15" t="s">
        <v>88</v>
      </c>
      <c r="E21" s="16">
        <v>4.373972243E9</v>
      </c>
      <c r="F21" s="15">
        <v>4.180303895E9</v>
      </c>
      <c r="G21" s="15" t="s">
        <v>43</v>
      </c>
      <c r="H21" s="15" t="s">
        <v>89</v>
      </c>
      <c r="I21" s="15" t="s">
        <v>89</v>
      </c>
      <c r="J21" s="16">
        <v>59000.0</v>
      </c>
      <c r="K21" s="16">
        <v>1.0</v>
      </c>
      <c r="L21" s="17">
        <v>45990.21826388889</v>
      </c>
      <c r="M21" s="20"/>
      <c r="N21" s="18"/>
      <c r="O21" s="18"/>
      <c r="P21" s="18"/>
      <c r="Q21" s="18"/>
      <c r="R21" s="18"/>
      <c r="S21" s="18"/>
      <c r="T21" s="18"/>
      <c r="U21" s="18"/>
    </row>
    <row r="22">
      <c r="A22" s="14">
        <f t="shared" si="1"/>
        <v>45989</v>
      </c>
      <c r="B22" s="15" t="s">
        <v>29</v>
      </c>
      <c r="C22" s="15" t="s">
        <v>30</v>
      </c>
      <c r="D22" s="15" t="s">
        <v>90</v>
      </c>
      <c r="E22" s="16">
        <v>4.37385702E9</v>
      </c>
      <c r="F22" s="15">
        <v>4.180303895E9</v>
      </c>
      <c r="G22" s="15" t="s">
        <v>43</v>
      </c>
      <c r="H22" s="15" t="s">
        <v>91</v>
      </c>
      <c r="I22" s="15" t="s">
        <v>91</v>
      </c>
      <c r="J22" s="16">
        <v>59000.0</v>
      </c>
      <c r="K22" s="16">
        <v>1.0</v>
      </c>
      <c r="L22" s="17">
        <v>45989.70920138889</v>
      </c>
      <c r="M22" s="20"/>
      <c r="N22" s="18"/>
      <c r="O22" s="18"/>
      <c r="P22" s="18"/>
      <c r="Q22" s="18"/>
      <c r="R22" s="18"/>
      <c r="S22" s="18"/>
      <c r="T22" s="18"/>
      <c r="U22" s="18"/>
    </row>
    <row r="23">
      <c r="A23" s="14">
        <f t="shared" si="1"/>
        <v>45989</v>
      </c>
      <c r="B23" s="15" t="s">
        <v>29</v>
      </c>
      <c r="C23" s="15" t="s">
        <v>40</v>
      </c>
      <c r="D23" s="15" t="s">
        <v>92</v>
      </c>
      <c r="E23" s="16">
        <v>2.54134679E9</v>
      </c>
      <c r="F23" s="15" t="s">
        <v>42</v>
      </c>
      <c r="G23" s="15" t="s">
        <v>43</v>
      </c>
      <c r="H23" s="15" t="s">
        <v>93</v>
      </c>
      <c r="I23" s="15" t="s">
        <v>93</v>
      </c>
      <c r="J23" s="16">
        <v>59000.0</v>
      </c>
      <c r="K23" s="16">
        <v>1.0</v>
      </c>
      <c r="L23" s="17">
        <v>45989.694444444445</v>
      </c>
      <c r="M23" s="19"/>
      <c r="N23" s="18"/>
      <c r="O23" s="18"/>
      <c r="P23" s="18"/>
      <c r="Q23" s="18"/>
      <c r="R23" s="18"/>
      <c r="S23" s="18"/>
      <c r="T23" s="18"/>
      <c r="U23" s="18"/>
    </row>
    <row r="24">
      <c r="A24" s="14">
        <f t="shared" si="1"/>
        <v>45989</v>
      </c>
      <c r="B24" s="15" t="s">
        <v>29</v>
      </c>
      <c r="C24" s="15" t="s">
        <v>40</v>
      </c>
      <c r="D24" s="15" t="s">
        <v>94</v>
      </c>
      <c r="E24" s="16">
        <v>2.541341989E9</v>
      </c>
      <c r="F24" s="15" t="s">
        <v>95</v>
      </c>
      <c r="G24" s="15" t="s">
        <v>96</v>
      </c>
      <c r="H24" s="15" t="s">
        <v>97</v>
      </c>
      <c r="I24" s="15" t="s">
        <v>97</v>
      </c>
      <c r="J24" s="16">
        <v>19900.0</v>
      </c>
      <c r="K24" s="16">
        <v>1.0</v>
      </c>
      <c r="L24" s="17">
        <v>45989.65416666667</v>
      </c>
      <c r="M24" s="20"/>
      <c r="N24" s="18"/>
      <c r="O24" s="18"/>
      <c r="P24" s="18"/>
      <c r="Q24" s="18"/>
      <c r="R24" s="18"/>
      <c r="S24" s="18"/>
      <c r="T24" s="18"/>
      <c r="U24" s="18"/>
    </row>
    <row r="25">
      <c r="A25" s="14">
        <f t="shared" si="1"/>
        <v>45989</v>
      </c>
      <c r="B25" s="15" t="s">
        <v>29</v>
      </c>
      <c r="C25" s="15" t="s">
        <v>30</v>
      </c>
      <c r="D25" s="15" t="s">
        <v>98</v>
      </c>
      <c r="E25" s="16">
        <v>4.373800449E9</v>
      </c>
      <c r="F25" s="15">
        <v>4.180303895E9</v>
      </c>
      <c r="G25" s="15" t="s">
        <v>43</v>
      </c>
      <c r="H25" s="15" t="s">
        <v>99</v>
      </c>
      <c r="I25" s="15" t="s">
        <v>99</v>
      </c>
      <c r="J25" s="16">
        <v>59000.0</v>
      </c>
      <c r="K25" s="16">
        <v>1.0</v>
      </c>
      <c r="L25" s="17">
        <v>45989.59039351852</v>
      </c>
      <c r="M25" s="20"/>
      <c r="N25" s="18"/>
      <c r="O25" s="18"/>
      <c r="P25" s="18"/>
      <c r="Q25" s="18"/>
      <c r="R25" s="18"/>
      <c r="S25" s="18"/>
      <c r="T25" s="18"/>
      <c r="U25" s="18"/>
    </row>
    <row r="26">
      <c r="A26" s="14">
        <f t="shared" si="1"/>
        <v>45989</v>
      </c>
      <c r="B26" s="15" t="s">
        <v>100</v>
      </c>
      <c r="C26" s="15" t="s">
        <v>30</v>
      </c>
      <c r="D26" s="15" t="s">
        <v>101</v>
      </c>
      <c r="E26" s="16">
        <v>4.373748292E9</v>
      </c>
      <c r="F26" s="15">
        <v>4.180306338E9</v>
      </c>
      <c r="G26" s="15" t="s">
        <v>35</v>
      </c>
      <c r="H26" s="15" t="s">
        <v>102</v>
      </c>
      <c r="I26" s="15" t="s">
        <v>102</v>
      </c>
      <c r="J26" s="16">
        <v>65000.0</v>
      </c>
      <c r="K26" s="16">
        <v>1.0</v>
      </c>
      <c r="L26" s="17">
        <v>45989.487650462965</v>
      </c>
      <c r="M26" s="17">
        <v>45990.549363425926</v>
      </c>
      <c r="N26" s="18"/>
      <c r="O26" s="18"/>
      <c r="P26" s="18"/>
      <c r="Q26" s="18"/>
      <c r="R26" s="18"/>
      <c r="S26" s="18"/>
      <c r="T26" s="18"/>
      <c r="U26" s="18"/>
    </row>
    <row r="27">
      <c r="A27" s="14">
        <f t="shared" si="1"/>
        <v>45989</v>
      </c>
      <c r="B27" s="15" t="s">
        <v>103</v>
      </c>
      <c r="C27" s="15" t="s">
        <v>30</v>
      </c>
      <c r="D27" s="15" t="s">
        <v>104</v>
      </c>
      <c r="E27" s="16">
        <v>4.37373444E9</v>
      </c>
      <c r="F27" s="15">
        <v>2.702301401E9</v>
      </c>
      <c r="G27" s="15" t="s">
        <v>81</v>
      </c>
      <c r="H27" s="15" t="s">
        <v>105</v>
      </c>
      <c r="I27" s="15" t="s">
        <v>106</v>
      </c>
      <c r="J27" s="16">
        <v>29900.0</v>
      </c>
      <c r="K27" s="16">
        <v>1.0</v>
      </c>
      <c r="L27" s="17">
        <v>45989.46612268518</v>
      </c>
      <c r="M27" s="17">
        <v>45990.60034722222</v>
      </c>
      <c r="N27" s="18"/>
      <c r="O27" s="18"/>
      <c r="P27" s="18"/>
      <c r="Q27" s="18"/>
      <c r="R27" s="18"/>
      <c r="S27" s="18"/>
      <c r="T27" s="18"/>
      <c r="U27" s="18"/>
    </row>
    <row r="28">
      <c r="A28" s="14">
        <f t="shared" si="1"/>
        <v>45989</v>
      </c>
      <c r="B28" s="15" t="s">
        <v>100</v>
      </c>
      <c r="C28" s="15" t="s">
        <v>30</v>
      </c>
      <c r="D28" s="15" t="s">
        <v>107</v>
      </c>
      <c r="E28" s="16">
        <v>4.373721824E9</v>
      </c>
      <c r="F28" s="15">
        <v>4.180303895E9</v>
      </c>
      <c r="G28" s="15" t="s">
        <v>43</v>
      </c>
      <c r="H28" s="15" t="s">
        <v>108</v>
      </c>
      <c r="I28" s="15" t="s">
        <v>108</v>
      </c>
      <c r="J28" s="16">
        <v>59000.0</v>
      </c>
      <c r="K28" s="16">
        <v>1.0</v>
      </c>
      <c r="L28" s="17">
        <v>45989.44775462963</v>
      </c>
      <c r="M28" s="17">
        <v>45990.59108796297</v>
      </c>
      <c r="N28" s="18"/>
      <c r="O28" s="18"/>
      <c r="P28" s="18"/>
      <c r="Q28" s="18"/>
      <c r="R28" s="18"/>
      <c r="S28" s="18"/>
      <c r="T28" s="18"/>
      <c r="U28" s="18"/>
    </row>
    <row r="29">
      <c r="A29" s="14">
        <f t="shared" si="1"/>
        <v>45989</v>
      </c>
      <c r="B29" s="15" t="s">
        <v>100</v>
      </c>
      <c r="C29" s="15" t="s">
        <v>30</v>
      </c>
      <c r="D29" s="15" t="s">
        <v>109</v>
      </c>
      <c r="E29" s="16">
        <v>4.373706964E9</v>
      </c>
      <c r="F29" s="15">
        <v>4.180303895E9</v>
      </c>
      <c r="G29" s="15" t="s">
        <v>43</v>
      </c>
      <c r="H29" s="15" t="s">
        <v>110</v>
      </c>
      <c r="I29" s="15" t="s">
        <v>110</v>
      </c>
      <c r="J29" s="16">
        <v>59000.0</v>
      </c>
      <c r="K29" s="16">
        <v>1.0</v>
      </c>
      <c r="L29" s="17">
        <v>45989.425520833334</v>
      </c>
      <c r="M29" s="17">
        <v>45990.479780092595</v>
      </c>
      <c r="N29" s="18"/>
      <c r="O29" s="18"/>
      <c r="P29" s="18"/>
      <c r="Q29" s="18"/>
      <c r="R29" s="18"/>
      <c r="S29" s="18"/>
      <c r="T29" s="18"/>
      <c r="U29" s="18"/>
    </row>
    <row r="30">
      <c r="A30" s="14">
        <f t="shared" si="1"/>
        <v>45988</v>
      </c>
      <c r="B30" s="15" t="s">
        <v>100</v>
      </c>
      <c r="C30" s="15" t="s">
        <v>30</v>
      </c>
      <c r="D30" s="15" t="s">
        <v>111</v>
      </c>
      <c r="E30" s="16">
        <v>4.373609042E9</v>
      </c>
      <c r="F30" s="15">
        <v>2.793594584E9</v>
      </c>
      <c r="G30" s="15" t="s">
        <v>112</v>
      </c>
      <c r="H30" s="15" t="s">
        <v>113</v>
      </c>
      <c r="I30" s="15" t="s">
        <v>113</v>
      </c>
      <c r="J30" s="16">
        <v>14900.0</v>
      </c>
      <c r="K30" s="16">
        <v>1.0</v>
      </c>
      <c r="L30" s="17">
        <v>45988.9575</v>
      </c>
      <c r="M30" s="17">
        <v>45990.70203703704</v>
      </c>
      <c r="N30" s="18"/>
      <c r="O30" s="18"/>
      <c r="P30" s="18"/>
      <c r="Q30" s="18"/>
      <c r="R30" s="18"/>
      <c r="S30" s="18"/>
      <c r="T30" s="18"/>
      <c r="U30" s="18"/>
    </row>
    <row r="31">
      <c r="A31" s="14">
        <f t="shared" si="1"/>
        <v>45988</v>
      </c>
      <c r="B31" s="15" t="s">
        <v>100</v>
      </c>
      <c r="C31" s="15" t="s">
        <v>30</v>
      </c>
      <c r="D31" s="15" t="s">
        <v>114</v>
      </c>
      <c r="E31" s="16">
        <v>4.373588166E9</v>
      </c>
      <c r="F31" s="15">
        <v>4.180303895E9</v>
      </c>
      <c r="G31" s="15" t="s">
        <v>43</v>
      </c>
      <c r="H31" s="15" t="s">
        <v>115</v>
      </c>
      <c r="I31" s="15" t="s">
        <v>116</v>
      </c>
      <c r="J31" s="16">
        <v>59000.0</v>
      </c>
      <c r="K31" s="16">
        <v>1.0</v>
      </c>
      <c r="L31" s="17">
        <v>45988.90671296296</v>
      </c>
      <c r="M31" s="17">
        <v>45990.438125</v>
      </c>
      <c r="N31" s="18"/>
      <c r="O31" s="18"/>
      <c r="P31" s="18"/>
      <c r="Q31" s="18"/>
      <c r="R31" s="18"/>
      <c r="S31" s="18"/>
      <c r="T31" s="18"/>
      <c r="U31" s="18"/>
    </row>
    <row r="32">
      <c r="A32" s="14">
        <f t="shared" si="1"/>
        <v>45988</v>
      </c>
      <c r="B32" s="15" t="s">
        <v>100</v>
      </c>
      <c r="C32" s="15" t="s">
        <v>30</v>
      </c>
      <c r="D32" s="15" t="s">
        <v>117</v>
      </c>
      <c r="E32" s="16">
        <v>4.373545258E9</v>
      </c>
      <c r="F32" s="15">
        <v>4.188494215E9</v>
      </c>
      <c r="G32" s="15" t="s">
        <v>38</v>
      </c>
      <c r="H32" s="15" t="s">
        <v>118</v>
      </c>
      <c r="I32" s="15" t="s">
        <v>118</v>
      </c>
      <c r="J32" s="16">
        <v>24900.0</v>
      </c>
      <c r="K32" s="16">
        <v>1.0</v>
      </c>
      <c r="L32" s="17">
        <v>45988.78974537037</v>
      </c>
      <c r="M32" s="17">
        <v>45990.48673611111</v>
      </c>
      <c r="N32" s="18"/>
      <c r="O32" s="18"/>
      <c r="P32" s="18"/>
      <c r="Q32" s="18"/>
      <c r="R32" s="18"/>
      <c r="S32" s="18"/>
      <c r="T32" s="18"/>
      <c r="U32" s="18"/>
    </row>
    <row r="33">
      <c r="A33" s="14">
        <f t="shared" si="1"/>
        <v>45988</v>
      </c>
      <c r="B33" s="15" t="s">
        <v>100</v>
      </c>
      <c r="C33" s="15" t="s">
        <v>30</v>
      </c>
      <c r="D33" s="15" t="s">
        <v>117</v>
      </c>
      <c r="E33" s="16">
        <v>4.373545257E9</v>
      </c>
      <c r="F33" s="15">
        <v>4.188494215E9</v>
      </c>
      <c r="G33" s="15" t="s">
        <v>38</v>
      </c>
      <c r="H33" s="15" t="s">
        <v>118</v>
      </c>
      <c r="I33" s="15" t="s">
        <v>118</v>
      </c>
      <c r="J33" s="16">
        <v>24900.0</v>
      </c>
      <c r="K33" s="16">
        <v>1.0</v>
      </c>
      <c r="L33" s="17">
        <v>45988.78974537037</v>
      </c>
      <c r="M33" s="17">
        <v>45990.48673611111</v>
      </c>
      <c r="N33" s="19"/>
      <c r="O33" s="18"/>
      <c r="P33" s="18"/>
      <c r="Q33" s="18"/>
      <c r="R33" s="18"/>
      <c r="S33" s="18"/>
      <c r="T33" s="18"/>
      <c r="U33" s="18"/>
    </row>
    <row r="34">
      <c r="A34" s="14">
        <f t="shared" si="1"/>
        <v>45988</v>
      </c>
      <c r="B34" s="15" t="s">
        <v>100</v>
      </c>
      <c r="C34" s="15" t="s">
        <v>30</v>
      </c>
      <c r="D34" s="15" t="s">
        <v>117</v>
      </c>
      <c r="E34" s="16">
        <v>4.373545259E9</v>
      </c>
      <c r="F34" s="15">
        <v>4.188494215E9</v>
      </c>
      <c r="G34" s="15" t="s">
        <v>38</v>
      </c>
      <c r="H34" s="15" t="s">
        <v>118</v>
      </c>
      <c r="I34" s="15" t="s">
        <v>118</v>
      </c>
      <c r="J34" s="16">
        <v>24900.0</v>
      </c>
      <c r="K34" s="16">
        <v>1.0</v>
      </c>
      <c r="L34" s="17">
        <v>45988.78974537037</v>
      </c>
      <c r="M34" s="17">
        <v>45990.48673611111</v>
      </c>
      <c r="N34" s="18"/>
      <c r="O34" s="18"/>
      <c r="P34" s="18"/>
      <c r="Q34" s="18"/>
      <c r="R34" s="18"/>
      <c r="S34" s="18"/>
      <c r="T34" s="18"/>
      <c r="U34" s="18"/>
    </row>
    <row r="35">
      <c r="A35" s="14">
        <f t="shared" si="1"/>
        <v>45988</v>
      </c>
      <c r="B35" s="15" t="s">
        <v>100</v>
      </c>
      <c r="C35" s="15" t="s">
        <v>30</v>
      </c>
      <c r="D35" s="15" t="s">
        <v>119</v>
      </c>
      <c r="E35" s="16">
        <v>4.373462536E9</v>
      </c>
      <c r="F35" s="15">
        <v>4.180303895E9</v>
      </c>
      <c r="G35" s="15" t="s">
        <v>43</v>
      </c>
      <c r="H35" s="15" t="s">
        <v>120</v>
      </c>
      <c r="I35" s="15" t="s">
        <v>120</v>
      </c>
      <c r="J35" s="16">
        <v>59000.0</v>
      </c>
      <c r="K35" s="16">
        <v>1.0</v>
      </c>
      <c r="L35" s="17">
        <v>45988.60224537037</v>
      </c>
      <c r="M35" s="17">
        <v>45990.57710648148</v>
      </c>
      <c r="N35" s="18"/>
      <c r="O35" s="18"/>
      <c r="P35" s="18"/>
      <c r="Q35" s="18"/>
      <c r="R35" s="18"/>
      <c r="S35" s="18"/>
      <c r="T35" s="18"/>
      <c r="U35" s="18"/>
    </row>
    <row r="36">
      <c r="A36" s="14">
        <f t="shared" si="1"/>
        <v>45988</v>
      </c>
      <c r="B36" s="15" t="s">
        <v>100</v>
      </c>
      <c r="C36" s="15" t="s">
        <v>30</v>
      </c>
      <c r="D36" s="15" t="s">
        <v>121</v>
      </c>
      <c r="E36" s="16">
        <v>4.373425056E9</v>
      </c>
      <c r="F36" s="15">
        <v>4.180303895E9</v>
      </c>
      <c r="G36" s="15" t="s">
        <v>43</v>
      </c>
      <c r="H36" s="15" t="s">
        <v>122</v>
      </c>
      <c r="I36" s="15" t="s">
        <v>122</v>
      </c>
      <c r="J36" s="16">
        <v>59000.0</v>
      </c>
      <c r="K36" s="16">
        <v>1.0</v>
      </c>
      <c r="L36" s="17">
        <v>45988.54099537037</v>
      </c>
      <c r="M36" s="17">
        <v>45989.70207175926</v>
      </c>
      <c r="N36" s="20"/>
      <c r="O36" s="18"/>
      <c r="P36" s="18"/>
      <c r="Q36" s="18"/>
      <c r="R36" s="18"/>
      <c r="S36" s="18"/>
      <c r="T36" s="18"/>
      <c r="U36" s="18"/>
    </row>
    <row r="37">
      <c r="A37" s="14">
        <f t="shared" si="1"/>
        <v>45988</v>
      </c>
      <c r="B37" s="15" t="s">
        <v>100</v>
      </c>
      <c r="C37" s="15" t="s">
        <v>40</v>
      </c>
      <c r="D37" s="15" t="s">
        <v>123</v>
      </c>
      <c r="E37" s="16">
        <v>2.541213123E9</v>
      </c>
      <c r="F37" s="15" t="s">
        <v>42</v>
      </c>
      <c r="G37" s="15" t="s">
        <v>43</v>
      </c>
      <c r="H37" s="15" t="s">
        <v>124</v>
      </c>
      <c r="I37" s="15" t="s">
        <v>125</v>
      </c>
      <c r="J37" s="16">
        <v>59000.0</v>
      </c>
      <c r="K37" s="16">
        <v>1.0</v>
      </c>
      <c r="L37" s="17">
        <v>45988.50763888889</v>
      </c>
      <c r="M37" s="17">
        <v>45989.58478009259</v>
      </c>
      <c r="N37" s="18"/>
      <c r="O37" s="18"/>
      <c r="P37" s="18"/>
      <c r="Q37" s="18"/>
      <c r="R37" s="18"/>
      <c r="S37" s="18"/>
      <c r="T37" s="18"/>
      <c r="U37" s="18"/>
    </row>
    <row r="38">
      <c r="A38" s="14">
        <f t="shared" si="1"/>
        <v>45988</v>
      </c>
      <c r="B38" s="15" t="s">
        <v>100</v>
      </c>
      <c r="C38" s="15" t="s">
        <v>30</v>
      </c>
      <c r="D38" s="15" t="s">
        <v>126</v>
      </c>
      <c r="E38" s="16">
        <v>4.37332578E9</v>
      </c>
      <c r="F38" s="15">
        <v>1.784307306E9</v>
      </c>
      <c r="G38" s="15" t="s">
        <v>55</v>
      </c>
      <c r="H38" s="15" t="s">
        <v>127</v>
      </c>
      <c r="I38" s="15" t="s">
        <v>128</v>
      </c>
      <c r="J38" s="16">
        <v>47900.0</v>
      </c>
      <c r="K38" s="16">
        <v>1.0</v>
      </c>
      <c r="L38" s="17">
        <v>45988.38480324074</v>
      </c>
      <c r="M38" s="17">
        <v>45989.493622685186</v>
      </c>
      <c r="N38" s="18"/>
      <c r="O38" s="18"/>
      <c r="P38" s="18"/>
      <c r="Q38" s="18"/>
      <c r="R38" s="18"/>
      <c r="S38" s="18"/>
      <c r="T38" s="18"/>
      <c r="U38" s="18"/>
    </row>
    <row r="39">
      <c r="A39" s="14">
        <f t="shared" si="1"/>
        <v>45988</v>
      </c>
      <c r="B39" s="15" t="s">
        <v>100</v>
      </c>
      <c r="C39" s="15" t="s">
        <v>40</v>
      </c>
      <c r="D39" s="15" t="s">
        <v>129</v>
      </c>
      <c r="E39" s="16">
        <v>2.54117712E9</v>
      </c>
      <c r="F39" s="15" t="s">
        <v>130</v>
      </c>
      <c r="G39" s="15" t="s">
        <v>131</v>
      </c>
      <c r="H39" s="15" t="s">
        <v>132</v>
      </c>
      <c r="I39" s="15" t="s">
        <v>133</v>
      </c>
      <c r="J39" s="16">
        <v>144000.0</v>
      </c>
      <c r="K39" s="16">
        <v>2.0</v>
      </c>
      <c r="L39" s="17">
        <v>45988.14513888889</v>
      </c>
      <c r="M39" s="17">
        <v>45989.53402777778</v>
      </c>
      <c r="N39" s="19"/>
      <c r="O39" s="18"/>
      <c r="P39" s="18"/>
      <c r="Q39" s="18"/>
      <c r="R39" s="18"/>
      <c r="S39" s="18"/>
      <c r="T39" s="18"/>
      <c r="U39" s="18"/>
    </row>
    <row r="40">
      <c r="A40" s="14">
        <f t="shared" si="1"/>
        <v>45988</v>
      </c>
      <c r="B40" s="15" t="s">
        <v>50</v>
      </c>
      <c r="C40" s="15" t="s">
        <v>40</v>
      </c>
      <c r="D40" s="15" t="s">
        <v>129</v>
      </c>
      <c r="E40" s="16">
        <v>2.541175572E9</v>
      </c>
      <c r="F40" s="15" t="s">
        <v>130</v>
      </c>
      <c r="G40" s="15" t="s">
        <v>131</v>
      </c>
      <c r="H40" s="15" t="s">
        <v>132</v>
      </c>
      <c r="I40" s="15" t="s">
        <v>132</v>
      </c>
      <c r="J40" s="16">
        <v>144000.0</v>
      </c>
      <c r="K40" s="16">
        <v>2.0</v>
      </c>
      <c r="L40" s="17">
        <v>45988.09027777778</v>
      </c>
      <c r="M40" s="20"/>
      <c r="N40" s="18"/>
      <c r="O40" s="18"/>
      <c r="P40" s="18"/>
      <c r="Q40" s="18"/>
      <c r="R40" s="18"/>
      <c r="S40" s="18"/>
      <c r="T40" s="18"/>
      <c r="U40" s="18"/>
    </row>
    <row r="41">
      <c r="A41" s="14">
        <f t="shared" si="1"/>
        <v>45987</v>
      </c>
      <c r="B41" s="15" t="s">
        <v>100</v>
      </c>
      <c r="C41" s="15" t="s">
        <v>30</v>
      </c>
      <c r="D41" s="15" t="s">
        <v>134</v>
      </c>
      <c r="E41" s="16">
        <v>4.373212654E9</v>
      </c>
      <c r="F41" s="15">
        <v>4.546798282E9</v>
      </c>
      <c r="G41" s="15" t="s">
        <v>135</v>
      </c>
      <c r="H41" s="15" t="s">
        <v>136</v>
      </c>
      <c r="I41" s="15" t="s">
        <v>136</v>
      </c>
      <c r="J41" s="16">
        <v>109000.0</v>
      </c>
      <c r="K41" s="16">
        <v>1.0</v>
      </c>
      <c r="L41" s="17">
        <v>45987.87483796296</v>
      </c>
      <c r="M41" s="17">
        <v>45989.55609953704</v>
      </c>
      <c r="N41" s="20"/>
      <c r="O41" s="18"/>
      <c r="P41" s="18"/>
      <c r="Q41" s="18"/>
      <c r="R41" s="18"/>
      <c r="S41" s="18"/>
      <c r="T41" s="18"/>
      <c r="U41" s="18"/>
    </row>
    <row r="42">
      <c r="A42" s="14">
        <f t="shared" si="1"/>
        <v>45987</v>
      </c>
      <c r="B42" s="15" t="s">
        <v>100</v>
      </c>
      <c r="C42" s="15" t="s">
        <v>30</v>
      </c>
      <c r="D42" s="15" t="s">
        <v>137</v>
      </c>
      <c r="E42" s="16">
        <v>4.37320727E9</v>
      </c>
      <c r="F42" s="15">
        <v>1.803991571E9</v>
      </c>
      <c r="G42" s="15" t="s">
        <v>138</v>
      </c>
      <c r="H42" s="15" t="s">
        <v>139</v>
      </c>
      <c r="I42" s="15" t="s">
        <v>139</v>
      </c>
      <c r="J42" s="16">
        <v>21900.0</v>
      </c>
      <c r="K42" s="16">
        <v>1.0</v>
      </c>
      <c r="L42" s="17">
        <v>45987.86163194444</v>
      </c>
      <c r="M42" s="17">
        <v>45989.79917824074</v>
      </c>
      <c r="N42" s="18"/>
      <c r="O42" s="18"/>
      <c r="P42" s="18"/>
      <c r="Q42" s="18"/>
      <c r="R42" s="18"/>
      <c r="S42" s="18"/>
      <c r="T42" s="18"/>
      <c r="U42" s="18"/>
    </row>
    <row r="43">
      <c r="A43" s="14">
        <f t="shared" si="1"/>
        <v>45987</v>
      </c>
      <c r="B43" s="15" t="s">
        <v>100</v>
      </c>
      <c r="C43" s="15" t="s">
        <v>30</v>
      </c>
      <c r="D43" s="15" t="s">
        <v>140</v>
      </c>
      <c r="E43" s="16">
        <v>4.373198205E9</v>
      </c>
      <c r="F43" s="15">
        <v>4.180303895E9</v>
      </c>
      <c r="G43" s="15" t="s">
        <v>43</v>
      </c>
      <c r="H43" s="15" t="s">
        <v>141</v>
      </c>
      <c r="I43" s="15" t="s">
        <v>141</v>
      </c>
      <c r="J43" s="16">
        <v>59000.0</v>
      </c>
      <c r="K43" s="16">
        <v>1.0</v>
      </c>
      <c r="L43" s="17">
        <v>45987.83928240741</v>
      </c>
      <c r="M43" s="17">
        <v>45989.674305555556</v>
      </c>
      <c r="N43" s="19"/>
      <c r="O43" s="18"/>
      <c r="P43" s="18"/>
      <c r="Q43" s="18"/>
      <c r="R43" s="18"/>
      <c r="S43" s="18"/>
      <c r="T43" s="18"/>
      <c r="U43" s="18"/>
    </row>
    <row r="44">
      <c r="A44" s="14">
        <f t="shared" si="1"/>
        <v>45987</v>
      </c>
      <c r="B44" s="15" t="s">
        <v>47</v>
      </c>
      <c r="C44" s="15" t="s">
        <v>30</v>
      </c>
      <c r="D44" s="15" t="s">
        <v>142</v>
      </c>
      <c r="E44" s="16">
        <v>4.373178358E9</v>
      </c>
      <c r="F44" s="15">
        <v>4.180303895E9</v>
      </c>
      <c r="G44" s="15" t="s">
        <v>43</v>
      </c>
      <c r="H44" s="15" t="s">
        <v>143</v>
      </c>
      <c r="I44" s="15" t="s">
        <v>143</v>
      </c>
      <c r="J44" s="16">
        <v>59000.0</v>
      </c>
      <c r="K44" s="16">
        <v>1.0</v>
      </c>
      <c r="L44" s="17">
        <v>45987.78359953704</v>
      </c>
      <c r="M44" s="20"/>
      <c r="N44" s="18"/>
      <c r="O44" s="18"/>
      <c r="P44" s="18"/>
      <c r="Q44" s="18"/>
      <c r="R44" s="18"/>
      <c r="S44" s="18"/>
      <c r="T44" s="18"/>
      <c r="U44" s="18"/>
    </row>
    <row r="45">
      <c r="A45" s="14">
        <f t="shared" si="1"/>
        <v>45987</v>
      </c>
      <c r="B45" s="15" t="s">
        <v>100</v>
      </c>
      <c r="C45" s="15" t="s">
        <v>30</v>
      </c>
      <c r="D45" s="15" t="s">
        <v>144</v>
      </c>
      <c r="E45" s="16">
        <v>4.373141E9</v>
      </c>
      <c r="F45" s="15">
        <v>2.774671191E9</v>
      </c>
      <c r="G45" s="15" t="s">
        <v>131</v>
      </c>
      <c r="H45" s="15" t="s">
        <v>145</v>
      </c>
      <c r="I45" s="15" t="s">
        <v>146</v>
      </c>
      <c r="J45" s="16">
        <v>72000.0</v>
      </c>
      <c r="K45" s="16">
        <v>1.0</v>
      </c>
      <c r="L45" s="17">
        <v>45987.682546296295</v>
      </c>
      <c r="M45" s="17">
        <v>45989.54224537037</v>
      </c>
      <c r="N45" s="18"/>
      <c r="O45" s="18"/>
      <c r="P45" s="18"/>
      <c r="Q45" s="18"/>
      <c r="R45" s="18"/>
      <c r="S45" s="18"/>
      <c r="T45" s="18"/>
      <c r="U45" s="18"/>
    </row>
    <row r="46">
      <c r="A46" s="14">
        <f t="shared" si="1"/>
        <v>45987</v>
      </c>
      <c r="B46" s="15" t="s">
        <v>100</v>
      </c>
      <c r="C46" s="15" t="s">
        <v>30</v>
      </c>
      <c r="D46" s="15" t="s">
        <v>147</v>
      </c>
      <c r="E46" s="16">
        <v>4.373112684E9</v>
      </c>
      <c r="F46" s="15">
        <v>2.10684596E9</v>
      </c>
      <c r="G46" s="15" t="s">
        <v>32</v>
      </c>
      <c r="H46" s="15" t="s">
        <v>148</v>
      </c>
      <c r="I46" s="15" t="s">
        <v>149</v>
      </c>
      <c r="J46" s="16">
        <v>104700.0</v>
      </c>
      <c r="K46" s="16">
        <v>3.0</v>
      </c>
      <c r="L46" s="17">
        <v>45987.62956018518</v>
      </c>
      <c r="M46" s="17">
        <v>45989.45891203704</v>
      </c>
      <c r="N46" s="20"/>
      <c r="O46" s="18"/>
      <c r="P46" s="18"/>
      <c r="Q46" s="18"/>
      <c r="R46" s="18"/>
      <c r="S46" s="18"/>
      <c r="T46" s="18"/>
      <c r="U46" s="18"/>
    </row>
    <row r="47">
      <c r="A47" s="14">
        <f t="shared" si="1"/>
        <v>45987</v>
      </c>
      <c r="B47" s="15" t="s">
        <v>100</v>
      </c>
      <c r="C47" s="15" t="s">
        <v>30</v>
      </c>
      <c r="D47" s="15" t="s">
        <v>150</v>
      </c>
      <c r="E47" s="16">
        <v>4.372976054E9</v>
      </c>
      <c r="F47" s="15">
        <v>2.774671191E9</v>
      </c>
      <c r="G47" s="15" t="s">
        <v>131</v>
      </c>
      <c r="H47" s="15" t="s">
        <v>151</v>
      </c>
      <c r="I47" s="15" t="s">
        <v>152</v>
      </c>
      <c r="J47" s="16">
        <v>72000.0</v>
      </c>
      <c r="K47" s="16">
        <v>1.0</v>
      </c>
      <c r="L47" s="17">
        <v>45987.40721064815</v>
      </c>
      <c r="M47" s="17">
        <v>45988.528287037036</v>
      </c>
      <c r="N47" s="18"/>
      <c r="O47" s="18"/>
      <c r="P47" s="18"/>
      <c r="Q47" s="18"/>
      <c r="R47" s="18"/>
      <c r="S47" s="18"/>
      <c r="T47" s="18"/>
      <c r="U47" s="18"/>
    </row>
    <row r="48">
      <c r="A48" s="14">
        <f t="shared" si="1"/>
        <v>45987</v>
      </c>
      <c r="B48" s="15" t="s">
        <v>100</v>
      </c>
      <c r="C48" s="15" t="s">
        <v>30</v>
      </c>
      <c r="D48" s="15" t="s">
        <v>153</v>
      </c>
      <c r="E48" s="16">
        <v>4.372973542E9</v>
      </c>
      <c r="F48" s="15">
        <v>2.774671191E9</v>
      </c>
      <c r="G48" s="15" t="s">
        <v>131</v>
      </c>
      <c r="H48" s="15" t="s">
        <v>154</v>
      </c>
      <c r="I48" s="15" t="s">
        <v>155</v>
      </c>
      <c r="J48" s="16">
        <v>72000.0</v>
      </c>
      <c r="K48" s="16">
        <v>1.0</v>
      </c>
      <c r="L48" s="17">
        <v>45987.40357638889</v>
      </c>
      <c r="M48" s="17">
        <v>45988.63949074074</v>
      </c>
      <c r="N48" s="20"/>
      <c r="O48" s="18"/>
      <c r="P48" s="18"/>
      <c r="Q48" s="18"/>
      <c r="R48" s="18"/>
      <c r="S48" s="18"/>
      <c r="T48" s="18"/>
      <c r="U48" s="18"/>
    </row>
    <row r="49">
      <c r="A49" s="14">
        <f t="shared" si="1"/>
        <v>45987</v>
      </c>
      <c r="B49" s="15" t="s">
        <v>100</v>
      </c>
      <c r="C49" s="15" t="s">
        <v>30</v>
      </c>
      <c r="D49" s="15" t="s">
        <v>156</v>
      </c>
      <c r="E49" s="16">
        <v>4.372932433E9</v>
      </c>
      <c r="F49" s="15">
        <v>1.803991571E9</v>
      </c>
      <c r="G49" s="15" t="s">
        <v>138</v>
      </c>
      <c r="H49" s="15" t="s">
        <v>157</v>
      </c>
      <c r="I49" s="15" t="s">
        <v>157</v>
      </c>
      <c r="J49" s="16">
        <v>21900.0</v>
      </c>
      <c r="K49" s="16">
        <v>1.0</v>
      </c>
      <c r="L49" s="17">
        <v>45987.308530092596</v>
      </c>
      <c r="M49" s="17">
        <v>45988.61162037037</v>
      </c>
      <c r="N49" s="20"/>
      <c r="O49" s="18"/>
      <c r="P49" s="18"/>
      <c r="Q49" s="18"/>
      <c r="R49" s="18"/>
      <c r="S49" s="18"/>
      <c r="T49" s="18"/>
      <c r="U49" s="18"/>
    </row>
    <row r="50">
      <c r="A50" s="14">
        <f t="shared" si="1"/>
        <v>45987</v>
      </c>
      <c r="B50" s="15" t="s">
        <v>100</v>
      </c>
      <c r="C50" s="15" t="s">
        <v>30</v>
      </c>
      <c r="D50" s="15" t="s">
        <v>158</v>
      </c>
      <c r="E50" s="16">
        <v>4.372930734E9</v>
      </c>
      <c r="F50" s="15">
        <v>4.180303895E9</v>
      </c>
      <c r="G50" s="15" t="s">
        <v>43</v>
      </c>
      <c r="H50" s="15" t="s">
        <v>159</v>
      </c>
      <c r="I50" s="15" t="s">
        <v>159</v>
      </c>
      <c r="J50" s="16">
        <v>59000.0</v>
      </c>
      <c r="K50" s="16">
        <v>1.0</v>
      </c>
      <c r="L50" s="17">
        <v>45987.29883101852</v>
      </c>
      <c r="M50" s="17">
        <v>45988.54918981482</v>
      </c>
      <c r="N50" s="18"/>
      <c r="O50" s="18"/>
      <c r="P50" s="18"/>
      <c r="Q50" s="18"/>
      <c r="R50" s="18"/>
      <c r="S50" s="18"/>
      <c r="T50" s="18"/>
      <c r="U50" s="18"/>
    </row>
    <row r="51">
      <c r="A51" s="14">
        <f t="shared" si="1"/>
        <v>693961</v>
      </c>
      <c r="B51" s="15" t="s">
        <v>47</v>
      </c>
      <c r="C51" s="15" t="s">
        <v>30</v>
      </c>
      <c r="D51" s="15" t="s">
        <v>156</v>
      </c>
      <c r="E51" s="16">
        <v>4.372929003E9</v>
      </c>
      <c r="F51" s="15">
        <v>1.803991571E9</v>
      </c>
      <c r="G51" s="15" t="s">
        <v>138</v>
      </c>
      <c r="H51" s="15" t="s">
        <v>157</v>
      </c>
      <c r="I51" s="15" t="s">
        <v>157</v>
      </c>
      <c r="J51" s="16">
        <v>21900.0</v>
      </c>
      <c r="K51" s="16">
        <v>1.0</v>
      </c>
      <c r="L51" s="20"/>
      <c r="M51" s="20"/>
      <c r="N51" s="18"/>
      <c r="O51" s="18"/>
      <c r="P51" s="18"/>
      <c r="Q51" s="18"/>
      <c r="R51" s="18"/>
      <c r="S51" s="18"/>
      <c r="T51" s="18"/>
      <c r="U51" s="18"/>
    </row>
    <row r="52">
      <c r="A52" s="14">
        <f t="shared" si="1"/>
        <v>45987</v>
      </c>
      <c r="B52" s="15" t="s">
        <v>100</v>
      </c>
      <c r="C52" s="15" t="s">
        <v>30</v>
      </c>
      <c r="D52" s="15" t="s">
        <v>160</v>
      </c>
      <c r="E52" s="16">
        <v>4.372909473E9</v>
      </c>
      <c r="F52" s="15">
        <v>4.180306338E9</v>
      </c>
      <c r="G52" s="15" t="s">
        <v>35</v>
      </c>
      <c r="H52" s="15" t="s">
        <v>161</v>
      </c>
      <c r="I52" s="15" t="s">
        <v>161</v>
      </c>
      <c r="J52" s="16">
        <v>65000.0</v>
      </c>
      <c r="K52" s="16">
        <v>1.0</v>
      </c>
      <c r="L52" s="17">
        <v>45987.04958333333</v>
      </c>
      <c r="M52" s="17">
        <v>45988.6118287037</v>
      </c>
      <c r="N52" s="18"/>
      <c r="O52" s="18"/>
      <c r="P52" s="18"/>
      <c r="Q52" s="18"/>
      <c r="R52" s="18"/>
      <c r="S52" s="18"/>
      <c r="T52" s="18"/>
      <c r="U52" s="18"/>
    </row>
    <row r="53">
      <c r="A53" s="14">
        <f t="shared" si="1"/>
        <v>45986</v>
      </c>
      <c r="B53" s="15" t="s">
        <v>100</v>
      </c>
      <c r="C53" s="15" t="s">
        <v>30</v>
      </c>
      <c r="D53" s="15" t="s">
        <v>162</v>
      </c>
      <c r="E53" s="16">
        <v>4.372858804E9</v>
      </c>
      <c r="F53" s="15">
        <v>4.180303895E9</v>
      </c>
      <c r="G53" s="15" t="s">
        <v>43</v>
      </c>
      <c r="H53" s="15" t="s">
        <v>163</v>
      </c>
      <c r="I53" s="15" t="s">
        <v>163</v>
      </c>
      <c r="J53" s="16">
        <v>59000.0</v>
      </c>
      <c r="K53" s="16">
        <v>1.0</v>
      </c>
      <c r="L53" s="17">
        <v>45986.912939814814</v>
      </c>
      <c r="M53" s="17">
        <v>45988.632569444446</v>
      </c>
      <c r="N53" s="18"/>
      <c r="O53" s="18"/>
      <c r="P53" s="18"/>
      <c r="Q53" s="18"/>
      <c r="R53" s="18"/>
      <c r="S53" s="18"/>
      <c r="T53" s="18"/>
      <c r="U53" s="18"/>
    </row>
    <row r="54">
      <c r="A54" s="14">
        <f t="shared" si="1"/>
        <v>45986</v>
      </c>
      <c r="B54" s="15" t="s">
        <v>100</v>
      </c>
      <c r="C54" s="15" t="s">
        <v>30</v>
      </c>
      <c r="D54" s="15" t="s">
        <v>164</v>
      </c>
      <c r="E54" s="16">
        <v>4.372821434E9</v>
      </c>
      <c r="F54" s="15">
        <v>4.180306338E9</v>
      </c>
      <c r="G54" s="15" t="s">
        <v>35</v>
      </c>
      <c r="H54" s="15" t="s">
        <v>165</v>
      </c>
      <c r="I54" s="15" t="s">
        <v>165</v>
      </c>
      <c r="J54" s="16">
        <v>65000.0</v>
      </c>
      <c r="K54" s="16">
        <v>1.0</v>
      </c>
      <c r="L54" s="17">
        <v>45986.826203703706</v>
      </c>
      <c r="M54" s="17">
        <v>45988.81996527778</v>
      </c>
      <c r="N54" s="18"/>
      <c r="O54" s="18"/>
      <c r="P54" s="18"/>
      <c r="Q54" s="18"/>
      <c r="R54" s="18"/>
      <c r="S54" s="18"/>
      <c r="T54" s="18"/>
      <c r="U54" s="18"/>
    </row>
    <row r="55">
      <c r="A55" s="14">
        <f t="shared" si="1"/>
        <v>45986</v>
      </c>
      <c r="B55" s="15" t="s">
        <v>100</v>
      </c>
      <c r="C55" s="15" t="s">
        <v>30</v>
      </c>
      <c r="D55" s="15" t="s">
        <v>166</v>
      </c>
      <c r="E55" s="16">
        <v>4.37279107E9</v>
      </c>
      <c r="F55" s="15">
        <v>4.180303895E9</v>
      </c>
      <c r="G55" s="15" t="s">
        <v>43</v>
      </c>
      <c r="H55" s="15" t="s">
        <v>167</v>
      </c>
      <c r="I55" s="15" t="s">
        <v>167</v>
      </c>
      <c r="J55" s="16">
        <v>59000.0</v>
      </c>
      <c r="K55" s="16">
        <v>1.0</v>
      </c>
      <c r="L55" s="17">
        <v>45986.741215277776</v>
      </c>
      <c r="M55" s="17">
        <v>45988.59079861111</v>
      </c>
      <c r="N55" s="18"/>
      <c r="O55" s="18"/>
      <c r="P55" s="18"/>
      <c r="Q55" s="18"/>
      <c r="R55" s="18"/>
      <c r="S55" s="18"/>
      <c r="T55" s="18"/>
      <c r="U55" s="18"/>
    </row>
    <row r="56">
      <c r="A56" s="14">
        <f t="shared" si="1"/>
        <v>45986</v>
      </c>
      <c r="B56" s="15" t="s">
        <v>103</v>
      </c>
      <c r="C56" s="15" t="s">
        <v>30</v>
      </c>
      <c r="D56" s="15" t="s">
        <v>168</v>
      </c>
      <c r="E56" s="16">
        <v>4.372767946E9</v>
      </c>
      <c r="F56" s="15">
        <v>4.180303895E9</v>
      </c>
      <c r="G56" s="15" t="s">
        <v>43</v>
      </c>
      <c r="H56" s="15" t="s">
        <v>169</v>
      </c>
      <c r="I56" s="15" t="s">
        <v>169</v>
      </c>
      <c r="J56" s="16">
        <v>59000.0</v>
      </c>
      <c r="K56" s="16">
        <v>1.0</v>
      </c>
      <c r="L56" s="17">
        <v>45986.68417824074</v>
      </c>
      <c r="M56" s="17">
        <v>45988.60491898148</v>
      </c>
      <c r="N56" s="19"/>
      <c r="O56" s="18"/>
      <c r="P56" s="18"/>
      <c r="Q56" s="18"/>
      <c r="R56" s="18"/>
      <c r="S56" s="18"/>
      <c r="T56" s="18"/>
      <c r="U56" s="18"/>
    </row>
    <row r="57">
      <c r="A57" s="14">
        <f t="shared" si="1"/>
        <v>45986</v>
      </c>
      <c r="B57" s="15" t="s">
        <v>170</v>
      </c>
      <c r="C57" s="15" t="s">
        <v>40</v>
      </c>
      <c r="D57" s="15" t="s">
        <v>171</v>
      </c>
      <c r="E57" s="16">
        <v>2.540988288E9</v>
      </c>
      <c r="F57" s="15" t="s">
        <v>172</v>
      </c>
      <c r="G57" s="15" t="s">
        <v>173</v>
      </c>
      <c r="H57" s="15" t="s">
        <v>174</v>
      </c>
      <c r="I57" s="15" t="s">
        <v>174</v>
      </c>
      <c r="J57" s="16">
        <v>40000.0</v>
      </c>
      <c r="K57" s="16">
        <v>1.0</v>
      </c>
      <c r="L57" s="17">
        <v>45986.64791666667</v>
      </c>
      <c r="M57" s="17">
        <v>45988.5875</v>
      </c>
      <c r="N57" s="17">
        <v>45991.45416666667</v>
      </c>
      <c r="O57" s="18"/>
      <c r="P57" s="18"/>
      <c r="Q57" s="18"/>
      <c r="R57" s="18"/>
      <c r="S57" s="18"/>
      <c r="T57" s="18"/>
      <c r="U57" s="18"/>
    </row>
    <row r="58">
      <c r="A58" s="14">
        <f t="shared" si="1"/>
        <v>45986</v>
      </c>
      <c r="B58" s="15" t="s">
        <v>100</v>
      </c>
      <c r="C58" s="15" t="s">
        <v>30</v>
      </c>
      <c r="D58" s="15" t="s">
        <v>175</v>
      </c>
      <c r="E58" s="16">
        <v>4.372738192E9</v>
      </c>
      <c r="F58" s="15">
        <v>2.702301401E9</v>
      </c>
      <c r="G58" s="15" t="s">
        <v>81</v>
      </c>
      <c r="H58" s="15" t="s">
        <v>176</v>
      </c>
      <c r="I58" s="15" t="s">
        <v>177</v>
      </c>
      <c r="J58" s="16">
        <v>29900.0</v>
      </c>
      <c r="K58" s="16">
        <v>1.0</v>
      </c>
      <c r="L58" s="17">
        <v>45986.63384259259</v>
      </c>
      <c r="M58" s="17">
        <v>45989.6325462963</v>
      </c>
      <c r="N58" s="19"/>
      <c r="O58" s="18"/>
      <c r="P58" s="18"/>
      <c r="Q58" s="18"/>
      <c r="R58" s="18"/>
      <c r="S58" s="18"/>
      <c r="T58" s="18"/>
      <c r="U58" s="18"/>
    </row>
    <row r="59">
      <c r="A59" s="14">
        <f t="shared" si="1"/>
        <v>45986</v>
      </c>
      <c r="B59" s="15" t="s">
        <v>100</v>
      </c>
      <c r="C59" s="15" t="s">
        <v>30</v>
      </c>
      <c r="D59" s="15" t="s">
        <v>178</v>
      </c>
      <c r="E59" s="16">
        <v>4.372685165E9</v>
      </c>
      <c r="F59" s="15">
        <v>4.188494215E9</v>
      </c>
      <c r="G59" s="15" t="s">
        <v>38</v>
      </c>
      <c r="H59" s="15" t="s">
        <v>179</v>
      </c>
      <c r="I59" s="15" t="s">
        <v>180</v>
      </c>
      <c r="J59" s="16">
        <v>24900.0</v>
      </c>
      <c r="K59" s="16">
        <v>1.0</v>
      </c>
      <c r="L59" s="17">
        <v>45986.55200231481</v>
      </c>
      <c r="M59" s="17">
        <v>45987.604675925926</v>
      </c>
      <c r="N59" s="18"/>
      <c r="O59" s="18"/>
      <c r="P59" s="18"/>
      <c r="Q59" s="18"/>
      <c r="R59" s="18"/>
      <c r="S59" s="18"/>
      <c r="T59" s="18"/>
      <c r="U59" s="18"/>
    </row>
    <row r="60">
      <c r="A60" s="14">
        <f t="shared" si="1"/>
        <v>45986</v>
      </c>
      <c r="B60" s="15" t="s">
        <v>100</v>
      </c>
      <c r="C60" s="15" t="s">
        <v>30</v>
      </c>
      <c r="D60" s="15" t="s">
        <v>181</v>
      </c>
      <c r="E60" s="16">
        <v>4.372642172E9</v>
      </c>
      <c r="F60" s="15">
        <v>3.351572582E9</v>
      </c>
      <c r="G60" s="15" t="s">
        <v>182</v>
      </c>
      <c r="H60" s="15" t="s">
        <v>183</v>
      </c>
      <c r="I60" s="15" t="s">
        <v>184</v>
      </c>
      <c r="J60" s="16">
        <v>79000.0</v>
      </c>
      <c r="K60" s="16">
        <v>1.0</v>
      </c>
      <c r="L60" s="17">
        <v>45986.47530092593</v>
      </c>
      <c r="M60" s="17">
        <v>45987.604675925926</v>
      </c>
      <c r="N60" s="18"/>
      <c r="O60" s="18"/>
      <c r="P60" s="18"/>
      <c r="Q60" s="18"/>
      <c r="R60" s="18"/>
      <c r="S60" s="18"/>
      <c r="T60" s="18"/>
      <c r="U60" s="18"/>
    </row>
    <row r="61">
      <c r="A61" s="14">
        <f t="shared" si="1"/>
        <v>45986</v>
      </c>
      <c r="B61" s="15" t="s">
        <v>100</v>
      </c>
      <c r="C61" s="15" t="s">
        <v>30</v>
      </c>
      <c r="D61" s="15" t="s">
        <v>185</v>
      </c>
      <c r="E61" s="16">
        <v>4.372623816E9</v>
      </c>
      <c r="F61" s="15">
        <v>1.784307306E9</v>
      </c>
      <c r="G61" s="15" t="s">
        <v>55</v>
      </c>
      <c r="H61" s="15" t="s">
        <v>186</v>
      </c>
      <c r="I61" s="15" t="s">
        <v>186</v>
      </c>
      <c r="J61" s="16">
        <v>47900.0</v>
      </c>
      <c r="K61" s="16">
        <v>1.0</v>
      </c>
      <c r="L61" s="17">
        <v>45986.45003472222</v>
      </c>
      <c r="M61" s="17">
        <v>45987.50739583333</v>
      </c>
      <c r="N61" s="20"/>
      <c r="O61" s="18"/>
      <c r="P61" s="18"/>
      <c r="Q61" s="18"/>
      <c r="R61" s="18"/>
      <c r="S61" s="18"/>
      <c r="T61" s="18"/>
      <c r="U61" s="18"/>
    </row>
    <row r="62">
      <c r="A62" s="14">
        <f t="shared" si="1"/>
        <v>45986</v>
      </c>
      <c r="B62" s="15" t="s">
        <v>100</v>
      </c>
      <c r="C62" s="15" t="s">
        <v>40</v>
      </c>
      <c r="D62" s="15" t="s">
        <v>187</v>
      </c>
      <c r="E62" s="16">
        <v>2.540927717E9</v>
      </c>
      <c r="F62" s="15" t="s">
        <v>188</v>
      </c>
      <c r="G62" s="15" t="s">
        <v>64</v>
      </c>
      <c r="H62" s="15" t="s">
        <v>189</v>
      </c>
      <c r="I62" s="15" t="s">
        <v>189</v>
      </c>
      <c r="J62" s="16">
        <v>43900.0</v>
      </c>
      <c r="K62" s="16">
        <v>1.0</v>
      </c>
      <c r="L62" s="17">
        <v>45986.197222222225</v>
      </c>
      <c r="M62" s="17">
        <v>45987.665972222225</v>
      </c>
      <c r="N62" s="18"/>
      <c r="O62" s="18"/>
      <c r="P62" s="18"/>
      <c r="Q62" s="18"/>
      <c r="R62" s="18"/>
      <c r="S62" s="18"/>
      <c r="T62" s="18"/>
      <c r="U62" s="18"/>
    </row>
    <row r="63">
      <c r="A63" s="14">
        <f t="shared" si="1"/>
        <v>45986</v>
      </c>
      <c r="B63" s="15" t="s">
        <v>170</v>
      </c>
      <c r="C63" s="15" t="s">
        <v>30</v>
      </c>
      <c r="D63" s="15" t="s">
        <v>190</v>
      </c>
      <c r="E63" s="16">
        <v>4.372538086E9</v>
      </c>
      <c r="F63" s="15">
        <v>4.180303895E9</v>
      </c>
      <c r="G63" s="15" t="s">
        <v>43</v>
      </c>
      <c r="H63" s="15" t="s">
        <v>191</v>
      </c>
      <c r="I63" s="15" t="s">
        <v>191</v>
      </c>
      <c r="J63" s="16">
        <v>59000.0</v>
      </c>
      <c r="K63" s="16">
        <v>1.0</v>
      </c>
      <c r="L63" s="17">
        <v>45986.147199074076</v>
      </c>
      <c r="M63" s="17">
        <v>45987.59086805556</v>
      </c>
      <c r="N63" s="17">
        <v>45989.0</v>
      </c>
      <c r="O63" s="18"/>
      <c r="P63" s="18"/>
      <c r="Q63" s="18"/>
      <c r="R63" s="18"/>
      <c r="S63" s="18"/>
      <c r="T63" s="18"/>
      <c r="U63" s="18"/>
    </row>
    <row r="64">
      <c r="A64" s="14">
        <f t="shared" si="1"/>
        <v>45986</v>
      </c>
      <c r="B64" s="15" t="s">
        <v>170</v>
      </c>
      <c r="C64" s="15" t="s">
        <v>30</v>
      </c>
      <c r="D64" s="15" t="s">
        <v>192</v>
      </c>
      <c r="E64" s="16">
        <v>4.372529621E9</v>
      </c>
      <c r="F64" s="15">
        <v>4.113888539E9</v>
      </c>
      <c r="G64" s="15" t="s">
        <v>84</v>
      </c>
      <c r="H64" s="15" t="s">
        <v>193</v>
      </c>
      <c r="I64" s="15" t="s">
        <v>193</v>
      </c>
      <c r="J64" s="16">
        <v>14500.0</v>
      </c>
      <c r="K64" s="16">
        <v>1.0</v>
      </c>
      <c r="L64" s="17">
        <v>45986.055752314816</v>
      </c>
      <c r="M64" s="17">
        <v>45987.63946759259</v>
      </c>
      <c r="N64" s="17">
        <v>45988.0</v>
      </c>
      <c r="O64" s="18"/>
      <c r="P64" s="18"/>
      <c r="Q64" s="18"/>
      <c r="R64" s="18"/>
      <c r="S64" s="18"/>
      <c r="T64" s="18"/>
      <c r="U64" s="18"/>
    </row>
    <row r="65">
      <c r="A65" s="14">
        <f t="shared" si="1"/>
        <v>45985</v>
      </c>
      <c r="B65" s="15" t="s">
        <v>100</v>
      </c>
      <c r="C65" s="15" t="s">
        <v>30</v>
      </c>
      <c r="D65" s="15" t="s">
        <v>194</v>
      </c>
      <c r="E65" s="16">
        <v>4.372485968E9</v>
      </c>
      <c r="F65" s="15">
        <v>4.180303895E9</v>
      </c>
      <c r="G65" s="15" t="s">
        <v>43</v>
      </c>
      <c r="H65" s="15" t="s">
        <v>195</v>
      </c>
      <c r="I65" s="15" t="s">
        <v>195</v>
      </c>
      <c r="J65" s="16">
        <v>59000.0</v>
      </c>
      <c r="K65" s="16">
        <v>1.0</v>
      </c>
      <c r="L65" s="17">
        <v>45985.923842592594</v>
      </c>
      <c r="M65" s="17">
        <v>45987.59103009259</v>
      </c>
      <c r="N65" s="18"/>
      <c r="O65" s="18"/>
      <c r="P65" s="18"/>
      <c r="Q65" s="18"/>
      <c r="R65" s="18"/>
      <c r="S65" s="18"/>
      <c r="T65" s="18"/>
      <c r="U65" s="18"/>
    </row>
    <row r="66">
      <c r="A66" s="14">
        <f t="shared" si="1"/>
        <v>45985</v>
      </c>
      <c r="B66" s="15" t="s">
        <v>170</v>
      </c>
      <c r="C66" s="15" t="s">
        <v>30</v>
      </c>
      <c r="D66" s="15" t="s">
        <v>196</v>
      </c>
      <c r="E66" s="16">
        <v>4.372479376E9</v>
      </c>
      <c r="F66" s="15">
        <v>2.738943734E9</v>
      </c>
      <c r="G66" s="15" t="s">
        <v>197</v>
      </c>
      <c r="H66" s="15" t="s">
        <v>198</v>
      </c>
      <c r="I66" s="15" t="s">
        <v>198</v>
      </c>
      <c r="J66" s="16">
        <v>19900.0</v>
      </c>
      <c r="K66" s="16">
        <v>1.0</v>
      </c>
      <c r="L66" s="17">
        <v>45985.909270833334</v>
      </c>
      <c r="M66" s="17">
        <v>45987.597766203704</v>
      </c>
      <c r="N66" s="17">
        <v>45989.0</v>
      </c>
      <c r="O66" s="18"/>
      <c r="P66" s="18"/>
      <c r="Q66" s="18"/>
      <c r="R66" s="18"/>
      <c r="S66" s="18"/>
      <c r="T66" s="18"/>
      <c r="U66" s="18"/>
    </row>
    <row r="67">
      <c r="A67" s="14">
        <f t="shared" si="1"/>
        <v>45985</v>
      </c>
      <c r="B67" s="15" t="s">
        <v>100</v>
      </c>
      <c r="C67" s="15" t="s">
        <v>40</v>
      </c>
      <c r="D67" s="15" t="s">
        <v>199</v>
      </c>
      <c r="E67" s="16">
        <v>2.540904369E9</v>
      </c>
      <c r="F67" s="15" t="s">
        <v>42</v>
      </c>
      <c r="G67" s="15" t="s">
        <v>43</v>
      </c>
      <c r="H67" s="15" t="s">
        <v>200</v>
      </c>
      <c r="I67" s="15" t="s">
        <v>200</v>
      </c>
      <c r="J67" s="16">
        <v>59000.0</v>
      </c>
      <c r="K67" s="16">
        <v>1.0</v>
      </c>
      <c r="L67" s="17">
        <v>45985.888194444444</v>
      </c>
      <c r="M67" s="17">
        <v>45987.68974537037</v>
      </c>
      <c r="N67" s="18"/>
      <c r="O67" s="18"/>
      <c r="P67" s="18"/>
      <c r="Q67" s="18"/>
      <c r="R67" s="18"/>
      <c r="S67" s="18"/>
      <c r="T67" s="18"/>
      <c r="U67" s="18"/>
    </row>
    <row r="68">
      <c r="A68" s="14">
        <f t="shared" si="1"/>
        <v>45986</v>
      </c>
      <c r="B68" s="15" t="s">
        <v>170</v>
      </c>
      <c r="C68" s="15" t="s">
        <v>40</v>
      </c>
      <c r="D68" s="15" t="s">
        <v>201</v>
      </c>
      <c r="E68" s="16">
        <v>2.540903612E9</v>
      </c>
      <c r="F68" s="15" t="s">
        <v>42</v>
      </c>
      <c r="G68" s="15" t="s">
        <v>43</v>
      </c>
      <c r="H68" s="15" t="s">
        <v>202</v>
      </c>
      <c r="I68" s="15" t="s">
        <v>203</v>
      </c>
      <c r="J68" s="16">
        <v>118000.0</v>
      </c>
      <c r="K68" s="16">
        <v>2.0</v>
      </c>
      <c r="L68" s="17">
        <v>45986.87569444445</v>
      </c>
      <c r="M68" s="17">
        <v>45988.63459490741</v>
      </c>
      <c r="N68" s="17">
        <v>45990.638194444444</v>
      </c>
      <c r="O68" s="18"/>
      <c r="P68" s="18"/>
      <c r="Q68" s="18"/>
      <c r="R68" s="18"/>
      <c r="S68" s="18"/>
      <c r="T68" s="18"/>
      <c r="U68" s="18"/>
    </row>
    <row r="69">
      <c r="A69" s="14">
        <f t="shared" si="1"/>
        <v>45986</v>
      </c>
      <c r="B69" s="15" t="s">
        <v>170</v>
      </c>
      <c r="C69" s="15" t="s">
        <v>40</v>
      </c>
      <c r="D69" s="15" t="s">
        <v>204</v>
      </c>
      <c r="E69" s="16">
        <v>2.540902674E9</v>
      </c>
      <c r="F69" s="15" t="s">
        <v>42</v>
      </c>
      <c r="G69" s="15" t="s">
        <v>43</v>
      </c>
      <c r="H69" s="15" t="s">
        <v>205</v>
      </c>
      <c r="I69" s="15" t="s">
        <v>206</v>
      </c>
      <c r="J69" s="16">
        <v>118000.0</v>
      </c>
      <c r="K69" s="16">
        <v>2.0</v>
      </c>
      <c r="L69" s="17">
        <v>45986.419444444444</v>
      </c>
      <c r="M69" s="17">
        <v>45987.741481481484</v>
      </c>
      <c r="N69" s="17">
        <v>45990.63958333333</v>
      </c>
      <c r="O69" s="18"/>
      <c r="P69" s="18"/>
      <c r="Q69" s="18"/>
      <c r="R69" s="18"/>
      <c r="S69" s="18"/>
      <c r="T69" s="18"/>
      <c r="U69" s="18"/>
    </row>
    <row r="70">
      <c r="A70" s="14">
        <f t="shared" si="1"/>
        <v>45985</v>
      </c>
      <c r="B70" s="15" t="s">
        <v>100</v>
      </c>
      <c r="C70" s="15" t="s">
        <v>30</v>
      </c>
      <c r="D70" s="15" t="s">
        <v>207</v>
      </c>
      <c r="E70" s="16">
        <v>4.372439581E9</v>
      </c>
      <c r="F70" s="15">
        <v>4.180303895E9</v>
      </c>
      <c r="G70" s="15" t="s">
        <v>43</v>
      </c>
      <c r="H70" s="15" t="s">
        <v>208</v>
      </c>
      <c r="I70" s="15" t="s">
        <v>208</v>
      </c>
      <c r="J70" s="16">
        <v>59000.0</v>
      </c>
      <c r="K70" s="16">
        <v>1.0</v>
      </c>
      <c r="L70" s="17">
        <v>45985.81390046296</v>
      </c>
      <c r="M70" s="17">
        <v>45987.52836805556</v>
      </c>
      <c r="N70" s="18"/>
      <c r="O70" s="18"/>
      <c r="P70" s="18"/>
      <c r="Q70" s="18"/>
      <c r="R70" s="18"/>
      <c r="S70" s="18"/>
      <c r="T70" s="18"/>
      <c r="U70" s="18"/>
    </row>
    <row r="71">
      <c r="A71" s="14">
        <f t="shared" si="1"/>
        <v>45985</v>
      </c>
      <c r="B71" s="15" t="s">
        <v>100</v>
      </c>
      <c r="C71" s="15" t="s">
        <v>30</v>
      </c>
      <c r="D71" s="15" t="s">
        <v>209</v>
      </c>
      <c r="E71" s="16">
        <v>4.372400189E9</v>
      </c>
      <c r="F71" s="15">
        <v>4.180303895E9</v>
      </c>
      <c r="G71" s="15" t="s">
        <v>43</v>
      </c>
      <c r="H71" s="15" t="s">
        <v>210</v>
      </c>
      <c r="I71" s="15" t="s">
        <v>210</v>
      </c>
      <c r="J71" s="16">
        <v>59000.0</v>
      </c>
      <c r="K71" s="16">
        <v>1.0</v>
      </c>
      <c r="L71" s="17">
        <v>45985.69962962963</v>
      </c>
      <c r="M71" s="17">
        <v>45987.61875</v>
      </c>
      <c r="N71" s="18"/>
      <c r="O71" s="18"/>
      <c r="P71" s="18"/>
      <c r="Q71" s="18"/>
      <c r="R71" s="18"/>
      <c r="S71" s="18"/>
      <c r="T71" s="18"/>
      <c r="U71" s="18"/>
    </row>
    <row r="72">
      <c r="A72" s="14">
        <f t="shared" si="1"/>
        <v>45985</v>
      </c>
      <c r="B72" s="15" t="s">
        <v>100</v>
      </c>
      <c r="C72" s="15" t="s">
        <v>30</v>
      </c>
      <c r="D72" s="15" t="s">
        <v>211</v>
      </c>
      <c r="E72" s="16">
        <v>4.372376807E9</v>
      </c>
      <c r="F72" s="15">
        <v>4.544699629E9</v>
      </c>
      <c r="G72" s="15" t="s">
        <v>212</v>
      </c>
      <c r="H72" s="15" t="s">
        <v>213</v>
      </c>
      <c r="I72" s="15" t="s">
        <v>214</v>
      </c>
      <c r="J72" s="16">
        <v>145000.0</v>
      </c>
      <c r="K72" s="16">
        <v>1.0</v>
      </c>
      <c r="L72" s="17">
        <v>45985.656180555554</v>
      </c>
      <c r="M72" s="17">
        <v>45988.47972222222</v>
      </c>
      <c r="N72" s="19"/>
      <c r="O72" s="18"/>
      <c r="P72" s="18"/>
      <c r="Q72" s="18"/>
      <c r="R72" s="18"/>
      <c r="S72" s="18"/>
      <c r="T72" s="18"/>
      <c r="U72" s="18"/>
    </row>
    <row r="73">
      <c r="A73" s="14">
        <f t="shared" si="1"/>
        <v>45985</v>
      </c>
      <c r="B73" s="15" t="s">
        <v>100</v>
      </c>
      <c r="C73" s="15" t="s">
        <v>30</v>
      </c>
      <c r="D73" s="15" t="s">
        <v>215</v>
      </c>
      <c r="E73" s="16">
        <v>4.372259016E9</v>
      </c>
      <c r="F73" s="15">
        <v>4.188494215E9</v>
      </c>
      <c r="G73" s="15" t="s">
        <v>38</v>
      </c>
      <c r="H73" s="15" t="s">
        <v>216</v>
      </c>
      <c r="I73" s="15" t="s">
        <v>217</v>
      </c>
      <c r="J73" s="16">
        <v>49800.0</v>
      </c>
      <c r="K73" s="16">
        <v>2.0</v>
      </c>
      <c r="L73" s="17">
        <v>45985.45862268518</v>
      </c>
      <c r="M73" s="17">
        <v>45986.660150462965</v>
      </c>
      <c r="N73" s="19"/>
      <c r="O73" s="18"/>
      <c r="P73" s="18"/>
      <c r="Q73" s="18"/>
      <c r="R73" s="18"/>
      <c r="S73" s="18"/>
      <c r="T73" s="18"/>
      <c r="U73" s="18"/>
    </row>
    <row r="74">
      <c r="A74" s="14">
        <f t="shared" si="1"/>
        <v>45985</v>
      </c>
      <c r="B74" s="15" t="s">
        <v>170</v>
      </c>
      <c r="C74" s="15" t="s">
        <v>30</v>
      </c>
      <c r="D74" s="15" t="s">
        <v>218</v>
      </c>
      <c r="E74" s="16">
        <v>4.372253446E9</v>
      </c>
      <c r="F74" s="15">
        <v>4.396121631E9</v>
      </c>
      <c r="G74" s="15" t="s">
        <v>219</v>
      </c>
      <c r="H74" s="15" t="s">
        <v>220</v>
      </c>
      <c r="I74" s="15" t="s">
        <v>220</v>
      </c>
      <c r="J74" s="16">
        <v>48000.0</v>
      </c>
      <c r="K74" s="16">
        <v>1.0</v>
      </c>
      <c r="L74" s="17">
        <v>45985.45055555556</v>
      </c>
      <c r="M74" s="17">
        <v>45986.59071759259</v>
      </c>
      <c r="N74" s="17">
        <v>45987.0</v>
      </c>
      <c r="O74" s="18"/>
      <c r="P74" s="18"/>
      <c r="Q74" s="18"/>
      <c r="R74" s="18"/>
      <c r="S74" s="18"/>
      <c r="T74" s="18"/>
      <c r="U74" s="18"/>
    </row>
    <row r="75">
      <c r="A75" s="14">
        <f t="shared" si="1"/>
        <v>45985</v>
      </c>
      <c r="B75" s="15" t="s">
        <v>100</v>
      </c>
      <c r="C75" s="15" t="s">
        <v>30</v>
      </c>
      <c r="D75" s="15" t="s">
        <v>221</v>
      </c>
      <c r="E75" s="16">
        <v>4.372228649E9</v>
      </c>
      <c r="F75" s="15">
        <v>4.180306338E9</v>
      </c>
      <c r="G75" s="15" t="s">
        <v>35</v>
      </c>
      <c r="H75" s="15" t="s">
        <v>222</v>
      </c>
      <c r="I75" s="15" t="s">
        <v>222</v>
      </c>
      <c r="J75" s="16">
        <v>65000.0</v>
      </c>
      <c r="K75" s="16">
        <v>1.0</v>
      </c>
      <c r="L75" s="17">
        <v>45985.41523148148</v>
      </c>
      <c r="M75" s="17">
        <v>45986.54209490741</v>
      </c>
      <c r="N75" s="19"/>
      <c r="O75" s="18"/>
      <c r="P75" s="18"/>
      <c r="Q75" s="18"/>
      <c r="R75" s="18"/>
      <c r="S75" s="18"/>
      <c r="T75" s="18"/>
      <c r="U75" s="18"/>
    </row>
    <row r="76">
      <c r="A76" s="14">
        <f t="shared" si="1"/>
        <v>45985</v>
      </c>
      <c r="B76" s="15" t="s">
        <v>170</v>
      </c>
      <c r="C76" s="15" t="s">
        <v>30</v>
      </c>
      <c r="D76" s="15" t="s">
        <v>223</v>
      </c>
      <c r="E76" s="16">
        <v>4.372179436E9</v>
      </c>
      <c r="F76" s="15">
        <v>4.180303895E9</v>
      </c>
      <c r="G76" s="15" t="s">
        <v>43</v>
      </c>
      <c r="H76" s="15" t="s">
        <v>224</v>
      </c>
      <c r="I76" s="15" t="s">
        <v>224</v>
      </c>
      <c r="J76" s="16">
        <v>118000.0</v>
      </c>
      <c r="K76" s="16">
        <v>2.0</v>
      </c>
      <c r="L76" s="17">
        <v>45985.30079861111</v>
      </c>
      <c r="M76" s="17">
        <v>45986.59780092593</v>
      </c>
      <c r="N76" s="17">
        <v>45988.0</v>
      </c>
      <c r="O76" s="18"/>
      <c r="P76" s="18"/>
      <c r="Q76" s="18"/>
      <c r="R76" s="18"/>
      <c r="S76" s="18"/>
      <c r="T76" s="18"/>
      <c r="U76" s="18"/>
    </row>
    <row r="77">
      <c r="A77" s="14">
        <f t="shared" si="1"/>
        <v>45985</v>
      </c>
      <c r="B77" s="15" t="s">
        <v>170</v>
      </c>
      <c r="C77" s="15" t="s">
        <v>40</v>
      </c>
      <c r="D77" s="15" t="s">
        <v>225</v>
      </c>
      <c r="E77" s="16">
        <v>2.540815206E9</v>
      </c>
      <c r="F77" s="15" t="s">
        <v>226</v>
      </c>
      <c r="G77" s="15" t="s">
        <v>35</v>
      </c>
      <c r="H77" s="15" t="s">
        <v>227</v>
      </c>
      <c r="I77" s="15" t="s">
        <v>227</v>
      </c>
      <c r="J77" s="16">
        <v>65000.0</v>
      </c>
      <c r="K77" s="16">
        <v>1.0</v>
      </c>
      <c r="L77" s="17">
        <v>45985.271527777775</v>
      </c>
      <c r="M77" s="17">
        <v>45986.63858796296</v>
      </c>
      <c r="N77" s="17">
        <v>45987.47222222222</v>
      </c>
      <c r="O77" s="18"/>
      <c r="P77" s="18"/>
      <c r="Q77" s="18"/>
      <c r="R77" s="18"/>
      <c r="S77" s="18"/>
      <c r="T77" s="18"/>
      <c r="U77" s="18"/>
    </row>
    <row r="78">
      <c r="A78" s="14">
        <f t="shared" si="1"/>
        <v>45984</v>
      </c>
      <c r="B78" s="15" t="s">
        <v>100</v>
      </c>
      <c r="C78" s="15" t="s">
        <v>40</v>
      </c>
      <c r="D78" s="15" t="s">
        <v>228</v>
      </c>
      <c r="E78" s="16">
        <v>2.540795156E9</v>
      </c>
      <c r="F78" s="15" t="s">
        <v>42</v>
      </c>
      <c r="G78" s="15" t="s">
        <v>43</v>
      </c>
      <c r="H78" s="15" t="s">
        <v>229</v>
      </c>
      <c r="I78" s="15" t="s">
        <v>230</v>
      </c>
      <c r="J78" s="16">
        <v>59000.0</v>
      </c>
      <c r="K78" s="16">
        <v>1.0</v>
      </c>
      <c r="L78" s="17">
        <v>45984.92986111111</v>
      </c>
      <c r="M78" s="17">
        <v>45986.53328703704</v>
      </c>
      <c r="N78" s="20"/>
      <c r="O78" s="18"/>
      <c r="P78" s="18"/>
      <c r="Q78" s="18"/>
      <c r="R78" s="18"/>
      <c r="S78" s="18"/>
      <c r="T78" s="18"/>
      <c r="U78" s="18"/>
    </row>
    <row r="79">
      <c r="A79" s="14">
        <f t="shared" si="1"/>
        <v>45984</v>
      </c>
      <c r="B79" s="15" t="s">
        <v>100</v>
      </c>
      <c r="C79" s="15" t="s">
        <v>30</v>
      </c>
      <c r="D79" s="15" t="s">
        <v>231</v>
      </c>
      <c r="E79" s="16">
        <v>4.372040664E9</v>
      </c>
      <c r="F79" s="15">
        <v>1.803991571E9</v>
      </c>
      <c r="G79" s="15" t="s">
        <v>138</v>
      </c>
      <c r="H79" s="15" t="s">
        <v>232</v>
      </c>
      <c r="I79" s="15" t="s">
        <v>232</v>
      </c>
      <c r="J79" s="16">
        <v>21900.0</v>
      </c>
      <c r="K79" s="16">
        <v>1.0</v>
      </c>
      <c r="L79" s="17">
        <v>45984.73878472222</v>
      </c>
      <c r="M79" s="17">
        <v>45986.63238425926</v>
      </c>
      <c r="N79" s="20"/>
      <c r="O79" s="18"/>
      <c r="P79" s="18"/>
      <c r="Q79" s="18"/>
      <c r="R79" s="18"/>
      <c r="S79" s="18"/>
      <c r="T79" s="18"/>
      <c r="U79" s="18"/>
    </row>
    <row r="80">
      <c r="A80" s="14">
        <f t="shared" si="1"/>
        <v>45984</v>
      </c>
      <c r="B80" s="15" t="s">
        <v>100</v>
      </c>
      <c r="C80" s="15" t="s">
        <v>30</v>
      </c>
      <c r="D80" s="15" t="s">
        <v>233</v>
      </c>
      <c r="E80" s="16">
        <v>4.372011653E9</v>
      </c>
      <c r="F80" s="15">
        <v>4.188494215E9</v>
      </c>
      <c r="G80" s="15" t="s">
        <v>38</v>
      </c>
      <c r="H80" s="15" t="s">
        <v>234</v>
      </c>
      <c r="I80" s="15" t="s">
        <v>234</v>
      </c>
      <c r="J80" s="16">
        <v>24900.0</v>
      </c>
      <c r="K80" s="16">
        <v>1.0</v>
      </c>
      <c r="L80" s="17">
        <v>45984.64815972222</v>
      </c>
      <c r="M80" s="17">
        <v>45986.63238425926</v>
      </c>
      <c r="N80" s="20"/>
      <c r="O80" s="18"/>
      <c r="P80" s="18"/>
      <c r="Q80" s="18"/>
      <c r="R80" s="18"/>
      <c r="S80" s="18"/>
      <c r="T80" s="18"/>
      <c r="U80" s="18"/>
    </row>
    <row r="81">
      <c r="A81" s="14">
        <f t="shared" si="1"/>
        <v>45984</v>
      </c>
      <c r="B81" s="15" t="s">
        <v>103</v>
      </c>
      <c r="C81" s="15" t="s">
        <v>30</v>
      </c>
      <c r="D81" s="15" t="s">
        <v>235</v>
      </c>
      <c r="E81" s="16">
        <v>4.371932936E9</v>
      </c>
      <c r="F81" s="15">
        <v>4.547685725E9</v>
      </c>
      <c r="G81" s="15" t="s">
        <v>236</v>
      </c>
      <c r="H81" s="15" t="s">
        <v>237</v>
      </c>
      <c r="I81" s="15" t="s">
        <v>237</v>
      </c>
      <c r="J81" s="16">
        <v>119000.0</v>
      </c>
      <c r="K81" s="16">
        <v>1.0</v>
      </c>
      <c r="L81" s="17">
        <v>45984.30204861111</v>
      </c>
      <c r="M81" s="17">
        <v>45986.77123842593</v>
      </c>
      <c r="N81" s="19"/>
      <c r="O81" s="18"/>
      <c r="P81" s="18"/>
      <c r="Q81" s="18"/>
      <c r="R81" s="18"/>
      <c r="S81" s="18"/>
      <c r="T81" s="18"/>
      <c r="U81" s="18"/>
    </row>
    <row r="82">
      <c r="A82" s="14">
        <f t="shared" si="1"/>
        <v>45984</v>
      </c>
      <c r="B82" s="15" t="s">
        <v>100</v>
      </c>
      <c r="C82" s="15" t="s">
        <v>30</v>
      </c>
      <c r="D82" s="15" t="s">
        <v>238</v>
      </c>
      <c r="E82" s="16">
        <v>4.371919136E9</v>
      </c>
      <c r="F82" s="15">
        <v>1.784307306E9</v>
      </c>
      <c r="G82" s="15" t="s">
        <v>55</v>
      </c>
      <c r="H82" s="15" t="s">
        <v>239</v>
      </c>
      <c r="I82" s="15" t="s">
        <v>239</v>
      </c>
      <c r="J82" s="16">
        <v>47900.0</v>
      </c>
      <c r="K82" s="16">
        <v>1.0</v>
      </c>
      <c r="L82" s="17">
        <v>45984.05428240741</v>
      </c>
      <c r="M82" s="17">
        <v>45986.70884259259</v>
      </c>
      <c r="N82" s="18"/>
      <c r="O82" s="18"/>
      <c r="P82" s="18"/>
      <c r="Q82" s="18"/>
      <c r="R82" s="18"/>
      <c r="S82" s="18"/>
      <c r="T82" s="18"/>
      <c r="U82" s="18"/>
    </row>
    <row r="83">
      <c r="A83" s="14">
        <f t="shared" si="1"/>
        <v>45983</v>
      </c>
      <c r="B83" s="15" t="s">
        <v>100</v>
      </c>
      <c r="C83" s="15" t="s">
        <v>30</v>
      </c>
      <c r="D83" s="15" t="s">
        <v>240</v>
      </c>
      <c r="E83" s="16">
        <v>4.371902131E9</v>
      </c>
      <c r="F83" s="15">
        <v>4.180303895E9</v>
      </c>
      <c r="G83" s="15" t="s">
        <v>43</v>
      </c>
      <c r="H83" s="15" t="s">
        <v>241</v>
      </c>
      <c r="I83" s="15" t="s">
        <v>241</v>
      </c>
      <c r="J83" s="16">
        <v>59000.0</v>
      </c>
      <c r="K83" s="16">
        <v>1.0</v>
      </c>
      <c r="L83" s="17">
        <v>45983.96753472222</v>
      </c>
      <c r="M83" s="17">
        <v>45986.674166666664</v>
      </c>
      <c r="N83" s="18"/>
      <c r="O83" s="18"/>
      <c r="P83" s="18"/>
      <c r="Q83" s="18"/>
      <c r="R83" s="18"/>
      <c r="S83" s="18"/>
      <c r="T83" s="18"/>
      <c r="U83" s="18"/>
    </row>
    <row r="84">
      <c r="A84" s="14">
        <f t="shared" si="1"/>
        <v>45983</v>
      </c>
      <c r="B84" s="15" t="s">
        <v>100</v>
      </c>
      <c r="C84" s="15" t="s">
        <v>40</v>
      </c>
      <c r="D84" s="15" t="s">
        <v>242</v>
      </c>
      <c r="E84" s="16">
        <v>2.540691604E9</v>
      </c>
      <c r="F84" s="15" t="s">
        <v>42</v>
      </c>
      <c r="G84" s="15" t="s">
        <v>43</v>
      </c>
      <c r="H84" s="15" t="s">
        <v>243</v>
      </c>
      <c r="I84" s="15" t="s">
        <v>243</v>
      </c>
      <c r="J84" s="16">
        <v>59000.0</v>
      </c>
      <c r="K84" s="16">
        <v>1.0</v>
      </c>
      <c r="L84" s="17">
        <v>45983.81180555555</v>
      </c>
      <c r="M84" s="17">
        <v>45986.7153125</v>
      </c>
      <c r="N84" s="19"/>
      <c r="O84" s="18"/>
      <c r="P84" s="18"/>
      <c r="Q84" s="18"/>
      <c r="R84" s="18"/>
      <c r="S84" s="18"/>
      <c r="T84" s="18"/>
      <c r="U84" s="18"/>
    </row>
    <row r="85">
      <c r="A85" s="14">
        <f t="shared" si="1"/>
        <v>45983</v>
      </c>
      <c r="B85" s="15" t="s">
        <v>100</v>
      </c>
      <c r="C85" s="15" t="s">
        <v>40</v>
      </c>
      <c r="D85" s="15" t="s">
        <v>244</v>
      </c>
      <c r="E85" s="16">
        <v>2.540669778E9</v>
      </c>
      <c r="F85" s="15" t="s">
        <v>42</v>
      </c>
      <c r="G85" s="15" t="s">
        <v>43</v>
      </c>
      <c r="H85" s="15" t="s">
        <v>245</v>
      </c>
      <c r="I85" s="15" t="s">
        <v>245</v>
      </c>
      <c r="J85" s="16">
        <v>59000.0</v>
      </c>
      <c r="K85" s="16">
        <v>1.0</v>
      </c>
      <c r="L85" s="17">
        <v>45983.56458333333</v>
      </c>
      <c r="M85" s="17">
        <v>45986.749375</v>
      </c>
      <c r="N85" s="18"/>
      <c r="O85" s="18"/>
      <c r="P85" s="18"/>
      <c r="Q85" s="18"/>
      <c r="R85" s="18"/>
      <c r="S85" s="18"/>
      <c r="T85" s="18"/>
      <c r="U85" s="18"/>
    </row>
    <row r="86">
      <c r="A86" s="14">
        <f t="shared" si="1"/>
        <v>45982</v>
      </c>
      <c r="B86" s="15" t="s">
        <v>100</v>
      </c>
      <c r="C86" s="15" t="s">
        <v>30</v>
      </c>
      <c r="D86" s="15" t="s">
        <v>246</v>
      </c>
      <c r="E86" s="16">
        <v>4.371643254E9</v>
      </c>
      <c r="F86" s="15">
        <v>2.774671191E9</v>
      </c>
      <c r="G86" s="15" t="s">
        <v>131</v>
      </c>
      <c r="H86" s="15" t="s">
        <v>247</v>
      </c>
      <c r="I86" s="15" t="s">
        <v>248</v>
      </c>
      <c r="J86" s="16">
        <v>360000.0</v>
      </c>
      <c r="K86" s="16">
        <v>5.0</v>
      </c>
      <c r="L86" s="17">
        <v>45982.754953703705</v>
      </c>
      <c r="M86" s="17">
        <v>45986.708819444444</v>
      </c>
      <c r="N86" s="20"/>
      <c r="O86" s="18"/>
      <c r="P86" s="18"/>
      <c r="Q86" s="18"/>
      <c r="R86" s="18"/>
      <c r="S86" s="18"/>
      <c r="T86" s="18"/>
      <c r="U86" s="18"/>
    </row>
    <row r="87">
      <c r="A87" s="14">
        <f t="shared" si="1"/>
        <v>45982</v>
      </c>
      <c r="B87" s="15" t="s">
        <v>100</v>
      </c>
      <c r="C87" s="15" t="s">
        <v>30</v>
      </c>
      <c r="D87" s="15" t="s">
        <v>249</v>
      </c>
      <c r="E87" s="16">
        <v>4.371615574E9</v>
      </c>
      <c r="F87" s="15">
        <v>4.396286099E9</v>
      </c>
      <c r="G87" s="15" t="s">
        <v>250</v>
      </c>
      <c r="H87" s="15" t="s">
        <v>251</v>
      </c>
      <c r="I87" s="15" t="s">
        <v>252</v>
      </c>
      <c r="J87" s="16">
        <v>28000.0</v>
      </c>
      <c r="K87" s="16">
        <v>1.0</v>
      </c>
      <c r="L87" s="17">
        <v>45982.67466435185</v>
      </c>
      <c r="M87" s="17">
        <v>45986.62535879629</v>
      </c>
      <c r="N87" s="20"/>
      <c r="O87" s="18"/>
      <c r="P87" s="18"/>
      <c r="Q87" s="18"/>
      <c r="R87" s="18"/>
      <c r="S87" s="18"/>
      <c r="T87" s="18"/>
      <c r="U87" s="18"/>
    </row>
    <row r="88">
      <c r="A88" s="14">
        <f t="shared" si="1"/>
        <v>45982</v>
      </c>
      <c r="B88" s="15" t="s">
        <v>103</v>
      </c>
      <c r="C88" s="15" t="s">
        <v>30</v>
      </c>
      <c r="D88" s="15" t="s">
        <v>253</v>
      </c>
      <c r="E88" s="16">
        <v>4.371586557E9</v>
      </c>
      <c r="F88" s="15">
        <v>2.774671191E9</v>
      </c>
      <c r="G88" s="15" t="s">
        <v>131</v>
      </c>
      <c r="H88" s="15" t="s">
        <v>254</v>
      </c>
      <c r="I88" s="15" t="s">
        <v>254</v>
      </c>
      <c r="J88" s="16">
        <v>72000.0</v>
      </c>
      <c r="K88" s="16">
        <v>1.0</v>
      </c>
      <c r="L88" s="17">
        <v>45982.61467592593</v>
      </c>
      <c r="M88" s="17">
        <v>45983.62533564815</v>
      </c>
      <c r="N88" s="20"/>
      <c r="O88" s="18"/>
      <c r="P88" s="18"/>
      <c r="Q88" s="18"/>
      <c r="R88" s="18"/>
      <c r="S88" s="18"/>
      <c r="T88" s="18"/>
      <c r="U88" s="18"/>
    </row>
    <row r="89">
      <c r="A89" s="14">
        <f t="shared" si="1"/>
        <v>45982</v>
      </c>
      <c r="B89" s="15" t="s">
        <v>170</v>
      </c>
      <c r="C89" s="15" t="s">
        <v>40</v>
      </c>
      <c r="D89" s="15" t="s">
        <v>255</v>
      </c>
      <c r="E89" s="16">
        <v>2.540575455E9</v>
      </c>
      <c r="F89" s="15" t="s">
        <v>226</v>
      </c>
      <c r="G89" s="15" t="s">
        <v>35</v>
      </c>
      <c r="H89" s="15" t="s">
        <v>256</v>
      </c>
      <c r="I89" s="15" t="s">
        <v>256</v>
      </c>
      <c r="J89" s="16">
        <v>65000.0</v>
      </c>
      <c r="K89" s="16">
        <v>1.0</v>
      </c>
      <c r="L89" s="17">
        <v>45982.50902777778</v>
      </c>
      <c r="M89" s="17">
        <v>45983.529641203706</v>
      </c>
      <c r="N89" s="17">
        <v>45991.07361111111</v>
      </c>
      <c r="O89" s="18"/>
      <c r="P89" s="18"/>
      <c r="Q89" s="18"/>
      <c r="R89" s="18"/>
      <c r="S89" s="18"/>
      <c r="T89" s="18"/>
      <c r="U89" s="18"/>
    </row>
    <row r="90">
      <c r="A90" s="14">
        <f t="shared" si="1"/>
        <v>45982</v>
      </c>
      <c r="B90" s="15" t="s">
        <v>103</v>
      </c>
      <c r="C90" s="15" t="s">
        <v>30</v>
      </c>
      <c r="D90" s="15" t="s">
        <v>257</v>
      </c>
      <c r="E90" s="16">
        <v>4.371453164E9</v>
      </c>
      <c r="F90" s="15">
        <v>4.180303895E9</v>
      </c>
      <c r="G90" s="15" t="s">
        <v>43</v>
      </c>
      <c r="H90" s="15" t="s">
        <v>258</v>
      </c>
      <c r="I90" s="15" t="s">
        <v>258</v>
      </c>
      <c r="J90" s="16">
        <v>59000.0</v>
      </c>
      <c r="K90" s="16">
        <v>1.0</v>
      </c>
      <c r="L90" s="17">
        <v>45982.388969907406</v>
      </c>
      <c r="M90" s="17">
        <v>45983.63230324074</v>
      </c>
      <c r="N90" s="18"/>
      <c r="O90" s="18"/>
      <c r="P90" s="18"/>
      <c r="Q90" s="18"/>
      <c r="R90" s="18"/>
      <c r="S90" s="18"/>
      <c r="T90" s="18"/>
      <c r="U90" s="18"/>
    </row>
    <row r="91">
      <c r="A91" s="14">
        <f t="shared" si="1"/>
        <v>45982</v>
      </c>
      <c r="B91" s="15" t="s">
        <v>103</v>
      </c>
      <c r="C91" s="15" t="s">
        <v>30</v>
      </c>
      <c r="D91" s="15" t="s">
        <v>259</v>
      </c>
      <c r="E91" s="16">
        <v>4.371394255E9</v>
      </c>
      <c r="F91" s="15">
        <v>4.188494215E9</v>
      </c>
      <c r="G91" s="15" t="s">
        <v>38</v>
      </c>
      <c r="H91" s="15" t="s">
        <v>260</v>
      </c>
      <c r="I91" s="15" t="s">
        <v>260</v>
      </c>
      <c r="J91" s="16">
        <v>24900.0</v>
      </c>
      <c r="K91" s="16">
        <v>1.0</v>
      </c>
      <c r="L91" s="17">
        <v>45982.00119212963</v>
      </c>
      <c r="M91" s="17">
        <v>45983.65306712963</v>
      </c>
      <c r="N91" s="20"/>
      <c r="O91" s="18"/>
      <c r="P91" s="18"/>
      <c r="Q91" s="18"/>
      <c r="R91" s="18"/>
      <c r="S91" s="18"/>
      <c r="T91" s="18"/>
      <c r="U91" s="18"/>
    </row>
    <row r="92">
      <c r="A92" s="14">
        <f t="shared" si="1"/>
        <v>45981</v>
      </c>
      <c r="B92" s="15" t="s">
        <v>103</v>
      </c>
      <c r="C92" s="15" t="s">
        <v>30</v>
      </c>
      <c r="D92" s="15" t="s">
        <v>261</v>
      </c>
      <c r="E92" s="16">
        <v>4.371353153E9</v>
      </c>
      <c r="F92" s="15">
        <v>4.180306338E9</v>
      </c>
      <c r="G92" s="15" t="s">
        <v>35</v>
      </c>
      <c r="H92" s="15" t="s">
        <v>262</v>
      </c>
      <c r="I92" s="15" t="s">
        <v>262</v>
      </c>
      <c r="J92" s="16">
        <v>65000.0</v>
      </c>
      <c r="K92" s="16">
        <v>1.0</v>
      </c>
      <c r="L92" s="17">
        <v>45981.903402777774</v>
      </c>
      <c r="M92" s="17">
        <v>45983.65314814815</v>
      </c>
      <c r="N92" s="18"/>
      <c r="O92" s="18"/>
      <c r="P92" s="18"/>
      <c r="Q92" s="18"/>
      <c r="R92" s="18"/>
      <c r="S92" s="18"/>
      <c r="T92" s="18"/>
      <c r="U92" s="18"/>
    </row>
    <row r="93">
      <c r="A93" s="14">
        <f t="shared" si="1"/>
        <v>45981</v>
      </c>
      <c r="B93" s="15" t="s">
        <v>47</v>
      </c>
      <c r="C93" s="15" t="s">
        <v>30</v>
      </c>
      <c r="D93" s="15" t="s">
        <v>263</v>
      </c>
      <c r="E93" s="16">
        <v>4.371349087E9</v>
      </c>
      <c r="F93" s="15">
        <v>4.180347851E9</v>
      </c>
      <c r="G93" s="15" t="s">
        <v>264</v>
      </c>
      <c r="H93" s="15" t="s">
        <v>265</v>
      </c>
      <c r="I93" s="15" t="s">
        <v>265</v>
      </c>
      <c r="J93" s="16">
        <v>119000.0</v>
      </c>
      <c r="K93" s="16">
        <v>1.0</v>
      </c>
      <c r="L93" s="17">
        <v>45981.89423611111</v>
      </c>
      <c r="M93" s="20"/>
      <c r="N93" s="18"/>
      <c r="O93" s="18"/>
      <c r="P93" s="18"/>
      <c r="Q93" s="18"/>
      <c r="R93" s="18"/>
      <c r="S93" s="18"/>
      <c r="T93" s="18"/>
      <c r="U93" s="18"/>
    </row>
    <row r="94">
      <c r="A94" s="14">
        <f t="shared" si="1"/>
        <v>45981</v>
      </c>
      <c r="B94" s="15" t="s">
        <v>103</v>
      </c>
      <c r="C94" s="15" t="s">
        <v>30</v>
      </c>
      <c r="D94" s="15" t="s">
        <v>266</v>
      </c>
      <c r="E94" s="16">
        <v>4.371309588E9</v>
      </c>
      <c r="F94" s="15">
        <v>3.598591102E9</v>
      </c>
      <c r="G94" s="15" t="s">
        <v>267</v>
      </c>
      <c r="H94" s="15" t="s">
        <v>268</v>
      </c>
      <c r="I94" s="15" t="s">
        <v>268</v>
      </c>
      <c r="J94" s="16">
        <v>25900.0</v>
      </c>
      <c r="K94" s="16">
        <v>1.0</v>
      </c>
      <c r="L94" s="17">
        <v>45981.79336805556</v>
      </c>
      <c r="M94" s="17">
        <v>45983.55585648148</v>
      </c>
      <c r="N94" s="18"/>
      <c r="O94" s="18"/>
      <c r="P94" s="18"/>
      <c r="Q94" s="18"/>
      <c r="R94" s="18"/>
      <c r="S94" s="18"/>
      <c r="T94" s="18"/>
      <c r="U94" s="18"/>
    </row>
    <row r="95">
      <c r="A95" s="14">
        <f t="shared" si="1"/>
        <v>45981</v>
      </c>
      <c r="B95" s="15" t="s">
        <v>103</v>
      </c>
      <c r="C95" s="15" t="s">
        <v>30</v>
      </c>
      <c r="D95" s="15" t="s">
        <v>269</v>
      </c>
      <c r="E95" s="16">
        <v>4.371278057E9</v>
      </c>
      <c r="F95" s="15">
        <v>4.180306338E9</v>
      </c>
      <c r="G95" s="15" t="s">
        <v>35</v>
      </c>
      <c r="H95" s="15" t="s">
        <v>270</v>
      </c>
      <c r="I95" s="15" t="s">
        <v>270</v>
      </c>
      <c r="J95" s="16">
        <v>65000.0</v>
      </c>
      <c r="K95" s="16">
        <v>1.0</v>
      </c>
      <c r="L95" s="17">
        <v>45981.70159722222</v>
      </c>
      <c r="M95" s="17">
        <v>45983.521099537036</v>
      </c>
      <c r="N95" s="20"/>
      <c r="O95" s="18"/>
      <c r="P95" s="18"/>
      <c r="Q95" s="18"/>
      <c r="R95" s="18"/>
      <c r="S95" s="18"/>
      <c r="T95" s="18"/>
      <c r="U95" s="18"/>
    </row>
    <row r="96">
      <c r="A96" s="14">
        <f t="shared" si="1"/>
        <v>45981</v>
      </c>
      <c r="B96" s="15" t="s">
        <v>170</v>
      </c>
      <c r="C96" s="15" t="s">
        <v>40</v>
      </c>
      <c r="D96" s="15" t="s">
        <v>271</v>
      </c>
      <c r="E96" s="16">
        <v>2.540483251E9</v>
      </c>
      <c r="F96" s="15" t="s">
        <v>42</v>
      </c>
      <c r="G96" s="15" t="s">
        <v>43</v>
      </c>
      <c r="H96" s="15" t="s">
        <v>272</v>
      </c>
      <c r="I96" s="15" t="s">
        <v>273</v>
      </c>
      <c r="J96" s="16">
        <v>59000.0</v>
      </c>
      <c r="K96" s="16">
        <v>1.0</v>
      </c>
      <c r="L96" s="17">
        <v>45981.69375</v>
      </c>
      <c r="M96" s="17">
        <v>45983.41459490741</v>
      </c>
      <c r="N96" s="17">
        <v>45991.04236111111</v>
      </c>
      <c r="O96" s="18"/>
      <c r="P96" s="18"/>
      <c r="Q96" s="18"/>
      <c r="R96" s="18"/>
      <c r="S96" s="18"/>
      <c r="T96" s="18"/>
      <c r="U96" s="18"/>
    </row>
    <row r="97">
      <c r="A97" s="14">
        <f t="shared" si="1"/>
        <v>45981</v>
      </c>
      <c r="B97" s="15" t="s">
        <v>103</v>
      </c>
      <c r="C97" s="15" t="s">
        <v>30</v>
      </c>
      <c r="D97" s="15" t="s">
        <v>274</v>
      </c>
      <c r="E97" s="16">
        <v>4.371197802E9</v>
      </c>
      <c r="F97" s="15">
        <v>4.180303895E9</v>
      </c>
      <c r="G97" s="15" t="s">
        <v>43</v>
      </c>
      <c r="H97" s="15" t="s">
        <v>275</v>
      </c>
      <c r="I97" s="15" t="s">
        <v>276</v>
      </c>
      <c r="J97" s="16">
        <v>118000.0</v>
      </c>
      <c r="K97" s="16">
        <v>2.0</v>
      </c>
      <c r="L97" s="17">
        <v>45981.55724537037</v>
      </c>
      <c r="M97" s="17">
        <v>45982.61231481482</v>
      </c>
      <c r="N97" s="19"/>
      <c r="O97" s="18"/>
      <c r="P97" s="18"/>
      <c r="Q97" s="18"/>
      <c r="R97" s="18"/>
      <c r="S97" s="18"/>
      <c r="T97" s="18"/>
      <c r="U97" s="18"/>
    </row>
    <row r="98">
      <c r="A98" s="14">
        <f t="shared" si="1"/>
        <v>45981</v>
      </c>
      <c r="B98" s="15" t="s">
        <v>103</v>
      </c>
      <c r="C98" s="15" t="s">
        <v>30</v>
      </c>
      <c r="D98" s="15" t="s">
        <v>277</v>
      </c>
      <c r="E98" s="16">
        <v>4.371171619E9</v>
      </c>
      <c r="F98" s="15">
        <v>4.188494215E9</v>
      </c>
      <c r="G98" s="15" t="s">
        <v>38</v>
      </c>
      <c r="H98" s="15" t="s">
        <v>278</v>
      </c>
      <c r="I98" s="15" t="s">
        <v>279</v>
      </c>
      <c r="J98" s="16">
        <v>99600.0</v>
      </c>
      <c r="K98" s="16">
        <v>4.0</v>
      </c>
      <c r="L98" s="17">
        <v>45981.508935185186</v>
      </c>
      <c r="M98" s="17">
        <v>45982.53564814815</v>
      </c>
      <c r="N98" s="19"/>
      <c r="O98" s="18"/>
      <c r="P98" s="18"/>
      <c r="Q98" s="18"/>
      <c r="R98" s="18"/>
      <c r="S98" s="18"/>
      <c r="T98" s="18"/>
      <c r="U98" s="18"/>
    </row>
    <row r="99">
      <c r="A99" s="14">
        <f t="shared" si="1"/>
        <v>45981</v>
      </c>
      <c r="B99" s="15" t="s">
        <v>103</v>
      </c>
      <c r="C99" s="15" t="s">
        <v>30</v>
      </c>
      <c r="D99" s="15" t="s">
        <v>280</v>
      </c>
      <c r="E99" s="16">
        <v>4.371167268E9</v>
      </c>
      <c r="F99" s="15">
        <v>4.547685725E9</v>
      </c>
      <c r="G99" s="15" t="s">
        <v>236</v>
      </c>
      <c r="H99" s="15" t="s">
        <v>281</v>
      </c>
      <c r="I99" s="15" t="s">
        <v>281</v>
      </c>
      <c r="J99" s="16">
        <v>119000.0</v>
      </c>
      <c r="K99" s="16">
        <v>1.0</v>
      </c>
      <c r="L99" s="17">
        <v>45981.50003472222</v>
      </c>
      <c r="M99" s="17">
        <v>45982.618946759256</v>
      </c>
      <c r="N99" s="20"/>
      <c r="O99" s="18"/>
      <c r="P99" s="18"/>
      <c r="Q99" s="18"/>
      <c r="R99" s="18"/>
      <c r="S99" s="18"/>
      <c r="T99" s="18"/>
      <c r="U99" s="18"/>
    </row>
    <row r="100">
      <c r="A100" s="14">
        <f t="shared" si="1"/>
        <v>45981</v>
      </c>
      <c r="B100" s="15" t="s">
        <v>103</v>
      </c>
      <c r="C100" s="15" t="s">
        <v>30</v>
      </c>
      <c r="D100" s="15" t="s">
        <v>282</v>
      </c>
      <c r="E100" s="16">
        <v>4.371130636E9</v>
      </c>
      <c r="F100" s="15">
        <v>4.180303895E9</v>
      </c>
      <c r="G100" s="15" t="s">
        <v>43</v>
      </c>
      <c r="H100" s="15" t="s">
        <v>283</v>
      </c>
      <c r="I100" s="15" t="s">
        <v>284</v>
      </c>
      <c r="J100" s="16">
        <v>118000.0</v>
      </c>
      <c r="K100" s="16">
        <v>2.0</v>
      </c>
      <c r="L100" s="17">
        <v>45981.45244212963</v>
      </c>
      <c r="M100" s="17">
        <v>45982.60528935185</v>
      </c>
      <c r="N100" s="20"/>
      <c r="O100" s="18"/>
      <c r="P100" s="18"/>
      <c r="Q100" s="18"/>
      <c r="R100" s="18"/>
      <c r="S100" s="18"/>
      <c r="T100" s="18"/>
      <c r="U100" s="18"/>
    </row>
    <row r="101">
      <c r="A101" s="14">
        <f t="shared" si="1"/>
        <v>45981</v>
      </c>
      <c r="B101" s="15" t="s">
        <v>103</v>
      </c>
      <c r="C101" s="15" t="s">
        <v>30</v>
      </c>
      <c r="D101" s="15" t="s">
        <v>285</v>
      </c>
      <c r="E101" s="16">
        <v>4.371117769E9</v>
      </c>
      <c r="F101" s="15">
        <v>4.180303895E9</v>
      </c>
      <c r="G101" s="15" t="s">
        <v>43</v>
      </c>
      <c r="H101" s="15" t="s">
        <v>286</v>
      </c>
      <c r="I101" s="15" t="s">
        <v>286</v>
      </c>
      <c r="J101" s="16">
        <v>118000.0</v>
      </c>
      <c r="K101" s="16">
        <v>2.0</v>
      </c>
      <c r="L101" s="17">
        <v>45981.43560185185</v>
      </c>
      <c r="M101" s="17">
        <v>45982.633043981485</v>
      </c>
      <c r="N101" s="20"/>
      <c r="O101" s="18"/>
      <c r="P101" s="18"/>
      <c r="Q101" s="18"/>
      <c r="R101" s="18"/>
      <c r="S101" s="18"/>
      <c r="T101" s="18"/>
      <c r="U101" s="18"/>
    </row>
    <row r="102">
      <c r="A102" s="14">
        <f t="shared" si="1"/>
        <v>45981</v>
      </c>
      <c r="B102" s="15" t="s">
        <v>103</v>
      </c>
      <c r="C102" s="15" t="s">
        <v>30</v>
      </c>
      <c r="D102" s="15" t="s">
        <v>287</v>
      </c>
      <c r="E102" s="16">
        <v>4.371087828E9</v>
      </c>
      <c r="F102" s="15">
        <v>4.180303895E9</v>
      </c>
      <c r="G102" s="15" t="s">
        <v>43</v>
      </c>
      <c r="H102" s="15" t="s">
        <v>288</v>
      </c>
      <c r="I102" s="15" t="s">
        <v>289</v>
      </c>
      <c r="J102" s="16">
        <v>118000.0</v>
      </c>
      <c r="K102" s="16">
        <v>2.0</v>
      </c>
      <c r="L102" s="17">
        <v>45981.39181712963</v>
      </c>
      <c r="M102" s="17">
        <v>45982.591203703705</v>
      </c>
      <c r="N102" s="20"/>
      <c r="O102" s="18"/>
      <c r="P102" s="18"/>
      <c r="Q102" s="18"/>
      <c r="R102" s="18"/>
      <c r="S102" s="18"/>
      <c r="T102" s="18"/>
      <c r="U102" s="18"/>
    </row>
    <row r="103">
      <c r="A103" s="14">
        <f t="shared" si="1"/>
        <v>45981</v>
      </c>
      <c r="B103" s="15" t="s">
        <v>290</v>
      </c>
      <c r="C103" s="15" t="s">
        <v>40</v>
      </c>
      <c r="D103" s="15" t="s">
        <v>291</v>
      </c>
      <c r="E103" s="16">
        <v>2.540410083E9</v>
      </c>
      <c r="F103" s="15" t="s">
        <v>42</v>
      </c>
      <c r="G103" s="15" t="s">
        <v>43</v>
      </c>
      <c r="H103" s="15" t="s">
        <v>292</v>
      </c>
      <c r="I103" s="15" t="s">
        <v>292</v>
      </c>
      <c r="J103" s="16">
        <v>59000.0</v>
      </c>
      <c r="K103" s="16">
        <v>1.0</v>
      </c>
      <c r="L103" s="17">
        <v>45981.20763888889</v>
      </c>
      <c r="M103" s="17">
        <v>45983.59798611111</v>
      </c>
      <c r="N103" s="20"/>
      <c r="O103" s="18"/>
      <c r="P103" s="18"/>
      <c r="Q103" s="18"/>
      <c r="R103" s="18"/>
      <c r="S103" s="18"/>
      <c r="T103" s="18"/>
      <c r="U103" s="18"/>
    </row>
    <row r="104">
      <c r="A104" s="14">
        <f t="shared" si="1"/>
        <v>45981</v>
      </c>
      <c r="B104" s="15" t="s">
        <v>170</v>
      </c>
      <c r="C104" s="15" t="s">
        <v>30</v>
      </c>
      <c r="D104" s="15" t="s">
        <v>293</v>
      </c>
      <c r="E104" s="16">
        <v>4.371022234E9</v>
      </c>
      <c r="F104" s="15">
        <v>3.351572582E9</v>
      </c>
      <c r="G104" s="15" t="s">
        <v>182</v>
      </c>
      <c r="H104" s="15" t="s">
        <v>294</v>
      </c>
      <c r="I104" s="15" t="s">
        <v>295</v>
      </c>
      <c r="J104" s="16">
        <v>79000.0</v>
      </c>
      <c r="K104" s="16">
        <v>1.0</v>
      </c>
      <c r="L104" s="17">
        <v>45981.01148148148</v>
      </c>
      <c r="M104" s="17">
        <v>45982.445335648146</v>
      </c>
      <c r="N104" s="17">
        <v>45985.0</v>
      </c>
      <c r="O104" s="18"/>
      <c r="P104" s="18"/>
      <c r="Q104" s="18"/>
      <c r="R104" s="18"/>
      <c r="S104" s="18"/>
      <c r="T104" s="18"/>
      <c r="U104" s="18"/>
    </row>
    <row r="105">
      <c r="A105" s="14">
        <f t="shared" si="1"/>
        <v>45980</v>
      </c>
      <c r="B105" s="15" t="s">
        <v>170</v>
      </c>
      <c r="C105" s="15" t="s">
        <v>40</v>
      </c>
      <c r="D105" s="15" t="s">
        <v>296</v>
      </c>
      <c r="E105" s="16">
        <v>2.540380515E9</v>
      </c>
      <c r="F105" s="15" t="s">
        <v>42</v>
      </c>
      <c r="G105" s="15" t="s">
        <v>43</v>
      </c>
      <c r="H105" s="15" t="s">
        <v>297</v>
      </c>
      <c r="I105" s="15" t="s">
        <v>297</v>
      </c>
      <c r="J105" s="16">
        <v>59000.0</v>
      </c>
      <c r="K105" s="16">
        <v>1.0</v>
      </c>
      <c r="L105" s="17">
        <v>45980.87986111111</v>
      </c>
      <c r="M105" s="17">
        <v>45982.658321759256</v>
      </c>
      <c r="N105" s="17">
        <v>45990.06458333333</v>
      </c>
      <c r="O105" s="18"/>
      <c r="P105" s="18"/>
      <c r="Q105" s="18"/>
      <c r="R105" s="18"/>
      <c r="S105" s="18"/>
      <c r="T105" s="18"/>
      <c r="U105" s="18"/>
    </row>
    <row r="106">
      <c r="A106" s="14">
        <f t="shared" si="1"/>
        <v>45980</v>
      </c>
      <c r="B106" s="15" t="s">
        <v>103</v>
      </c>
      <c r="C106" s="15" t="s">
        <v>30</v>
      </c>
      <c r="D106" s="15" t="s">
        <v>298</v>
      </c>
      <c r="E106" s="16">
        <v>4.370937547E9</v>
      </c>
      <c r="F106" s="15">
        <v>4.180303895E9</v>
      </c>
      <c r="G106" s="15" t="s">
        <v>43</v>
      </c>
      <c r="H106" s="15" t="s">
        <v>299</v>
      </c>
      <c r="I106" s="15" t="s">
        <v>299</v>
      </c>
      <c r="J106" s="16">
        <v>59000.0</v>
      </c>
      <c r="K106" s="16">
        <v>1.0</v>
      </c>
      <c r="L106" s="17">
        <v>45980.83148148148</v>
      </c>
      <c r="M106" s="17">
        <v>45982.632997685185</v>
      </c>
      <c r="N106" s="20"/>
      <c r="O106" s="18"/>
      <c r="P106" s="18"/>
      <c r="Q106" s="18"/>
      <c r="R106" s="18"/>
      <c r="S106" s="18"/>
      <c r="T106" s="18"/>
      <c r="U106" s="18"/>
    </row>
    <row r="107">
      <c r="A107" s="14">
        <f t="shared" si="1"/>
        <v>45980</v>
      </c>
      <c r="B107" s="15" t="s">
        <v>103</v>
      </c>
      <c r="C107" s="15" t="s">
        <v>30</v>
      </c>
      <c r="D107" s="15" t="s">
        <v>300</v>
      </c>
      <c r="E107" s="16">
        <v>4.370932376E9</v>
      </c>
      <c r="F107" s="15">
        <v>4.180303895E9</v>
      </c>
      <c r="G107" s="15" t="s">
        <v>43</v>
      </c>
      <c r="H107" s="15" t="s">
        <v>301</v>
      </c>
      <c r="I107" s="15" t="s">
        <v>301</v>
      </c>
      <c r="J107" s="16">
        <v>59000.0</v>
      </c>
      <c r="K107" s="16">
        <v>1.0</v>
      </c>
      <c r="L107" s="17">
        <v>45980.81883101852</v>
      </c>
      <c r="M107" s="17">
        <v>45982.59814814815</v>
      </c>
      <c r="N107" s="18"/>
      <c r="O107" s="18"/>
      <c r="P107" s="18"/>
      <c r="Q107" s="18"/>
      <c r="R107" s="18"/>
      <c r="S107" s="18"/>
      <c r="T107" s="18"/>
      <c r="U107" s="18"/>
    </row>
    <row r="108">
      <c r="A108" s="14">
        <f t="shared" si="1"/>
        <v>45980</v>
      </c>
      <c r="B108" s="15" t="s">
        <v>47</v>
      </c>
      <c r="C108" s="15" t="s">
        <v>30</v>
      </c>
      <c r="D108" s="15" t="s">
        <v>302</v>
      </c>
      <c r="E108" s="16">
        <v>4.370924068E9</v>
      </c>
      <c r="F108" s="15">
        <v>4.180303895E9</v>
      </c>
      <c r="G108" s="15" t="s">
        <v>43</v>
      </c>
      <c r="H108" s="15" t="s">
        <v>303</v>
      </c>
      <c r="I108" s="15" t="s">
        <v>303</v>
      </c>
      <c r="J108" s="16">
        <v>59000.0</v>
      </c>
      <c r="K108" s="16">
        <v>1.0</v>
      </c>
      <c r="L108" s="17">
        <v>45980.79789351852</v>
      </c>
      <c r="M108" s="20"/>
      <c r="N108" s="19"/>
      <c r="O108" s="18"/>
      <c r="P108" s="18"/>
      <c r="Q108" s="18"/>
      <c r="R108" s="18"/>
      <c r="S108" s="18"/>
      <c r="T108" s="18"/>
      <c r="U108" s="18"/>
    </row>
    <row r="109">
      <c r="A109" s="14">
        <f t="shared" si="1"/>
        <v>693961</v>
      </c>
      <c r="B109" s="15" t="s">
        <v>304</v>
      </c>
      <c r="C109" s="15" t="s">
        <v>40</v>
      </c>
      <c r="D109" s="15" t="s">
        <v>305</v>
      </c>
      <c r="E109" s="16">
        <v>2.540362665E9</v>
      </c>
      <c r="F109" s="15" t="s">
        <v>226</v>
      </c>
      <c r="G109" s="15" t="s">
        <v>35</v>
      </c>
      <c r="H109" s="15" t="s">
        <v>306</v>
      </c>
      <c r="I109" s="15" t="s">
        <v>306</v>
      </c>
      <c r="J109" s="16">
        <v>61750.0</v>
      </c>
      <c r="K109" s="16">
        <v>1.0</v>
      </c>
      <c r="L109" s="20"/>
      <c r="M109" s="20"/>
      <c r="N109" s="20"/>
      <c r="O109" s="18"/>
      <c r="P109" s="18"/>
      <c r="Q109" s="18"/>
      <c r="R109" s="18"/>
      <c r="S109" s="18"/>
      <c r="T109" s="18"/>
      <c r="U109" s="18"/>
    </row>
    <row r="110">
      <c r="A110" s="14">
        <f t="shared" si="1"/>
        <v>45980</v>
      </c>
      <c r="B110" s="15" t="s">
        <v>103</v>
      </c>
      <c r="C110" s="15" t="s">
        <v>30</v>
      </c>
      <c r="D110" s="15" t="s">
        <v>307</v>
      </c>
      <c r="E110" s="16">
        <v>4.37091236E9</v>
      </c>
      <c r="F110" s="15">
        <v>4.180303895E9</v>
      </c>
      <c r="G110" s="15" t="s">
        <v>43</v>
      </c>
      <c r="H110" s="15" t="s">
        <v>308</v>
      </c>
      <c r="I110" s="15" t="s">
        <v>308</v>
      </c>
      <c r="J110" s="16">
        <v>59000.0</v>
      </c>
      <c r="K110" s="16">
        <v>1.0</v>
      </c>
      <c r="L110" s="17">
        <v>45980.76694444445</v>
      </c>
      <c r="M110" s="17">
        <v>45982.68157407407</v>
      </c>
      <c r="N110" s="19"/>
      <c r="O110" s="18"/>
      <c r="P110" s="18"/>
      <c r="Q110" s="18"/>
      <c r="R110" s="18"/>
      <c r="S110" s="18"/>
      <c r="T110" s="18"/>
      <c r="U110" s="18"/>
    </row>
    <row r="111">
      <c r="A111" s="14">
        <f t="shared" si="1"/>
        <v>45980</v>
      </c>
      <c r="B111" s="15" t="s">
        <v>103</v>
      </c>
      <c r="C111" s="15" t="s">
        <v>30</v>
      </c>
      <c r="D111" s="15" t="s">
        <v>309</v>
      </c>
      <c r="E111" s="16">
        <v>4.370911935E9</v>
      </c>
      <c r="F111" s="15">
        <v>4.180303895E9</v>
      </c>
      <c r="G111" s="15" t="s">
        <v>43</v>
      </c>
      <c r="H111" s="15" t="s">
        <v>310</v>
      </c>
      <c r="I111" s="15" t="s">
        <v>310</v>
      </c>
      <c r="J111" s="16">
        <v>118000.0</v>
      </c>
      <c r="K111" s="16">
        <v>2.0</v>
      </c>
      <c r="L111" s="17">
        <v>45980.76568287037</v>
      </c>
      <c r="M111" s="17">
        <v>45982.65378472222</v>
      </c>
      <c r="N111" s="19"/>
      <c r="O111" s="18"/>
      <c r="P111" s="18"/>
      <c r="Q111" s="18"/>
      <c r="R111" s="18"/>
      <c r="S111" s="18"/>
      <c r="T111" s="18"/>
      <c r="U111" s="18"/>
    </row>
    <row r="112">
      <c r="A112" s="14">
        <f t="shared" si="1"/>
        <v>45980</v>
      </c>
      <c r="B112" s="15" t="s">
        <v>103</v>
      </c>
      <c r="C112" s="15" t="s">
        <v>30</v>
      </c>
      <c r="D112" s="15" t="s">
        <v>311</v>
      </c>
      <c r="E112" s="16">
        <v>4.370879528E9</v>
      </c>
      <c r="F112" s="15">
        <v>4.180303895E9</v>
      </c>
      <c r="G112" s="15" t="s">
        <v>43</v>
      </c>
      <c r="H112" s="15" t="s">
        <v>312</v>
      </c>
      <c r="I112" s="15" t="s">
        <v>312</v>
      </c>
      <c r="J112" s="16">
        <v>59000.0</v>
      </c>
      <c r="K112" s="16">
        <v>1.0</v>
      </c>
      <c r="L112" s="17">
        <v>45980.687997685185</v>
      </c>
      <c r="M112" s="17">
        <v>45982.6330787037</v>
      </c>
      <c r="N112" s="19"/>
      <c r="O112" s="18"/>
      <c r="P112" s="18"/>
      <c r="Q112" s="18"/>
      <c r="R112" s="18"/>
      <c r="S112" s="18"/>
      <c r="T112" s="18"/>
      <c r="U112" s="18"/>
    </row>
    <row r="113">
      <c r="A113" s="14">
        <f t="shared" si="1"/>
        <v>45980</v>
      </c>
      <c r="B113" s="15" t="s">
        <v>103</v>
      </c>
      <c r="C113" s="15" t="s">
        <v>30</v>
      </c>
      <c r="D113" s="15" t="s">
        <v>313</v>
      </c>
      <c r="E113" s="16">
        <v>4.370862398E9</v>
      </c>
      <c r="F113" s="15">
        <v>1.714503221E9</v>
      </c>
      <c r="G113" s="15" t="s">
        <v>314</v>
      </c>
      <c r="H113" s="15" t="s">
        <v>315</v>
      </c>
      <c r="I113" s="15" t="s">
        <v>315</v>
      </c>
      <c r="J113" s="16">
        <v>47900.0</v>
      </c>
      <c r="K113" s="16">
        <v>1.0</v>
      </c>
      <c r="L113" s="17">
        <v>45980.66483796296</v>
      </c>
      <c r="M113" s="17">
        <v>45982.61892361111</v>
      </c>
      <c r="N113" s="20"/>
      <c r="O113" s="18"/>
      <c r="P113" s="18"/>
      <c r="Q113" s="18"/>
      <c r="R113" s="18"/>
      <c r="S113" s="18"/>
      <c r="T113" s="18"/>
      <c r="U113" s="18"/>
    </row>
    <row r="114">
      <c r="A114" s="14">
        <f t="shared" si="1"/>
        <v>45980</v>
      </c>
      <c r="B114" s="15" t="s">
        <v>103</v>
      </c>
      <c r="C114" s="15" t="s">
        <v>30</v>
      </c>
      <c r="D114" s="15" t="s">
        <v>316</v>
      </c>
      <c r="E114" s="16">
        <v>4.370860357E9</v>
      </c>
      <c r="F114" s="15">
        <v>4.180306338E9</v>
      </c>
      <c r="G114" s="15" t="s">
        <v>35</v>
      </c>
      <c r="H114" s="15" t="s">
        <v>317</v>
      </c>
      <c r="I114" s="15" t="s">
        <v>317</v>
      </c>
      <c r="J114" s="16">
        <v>65000.0</v>
      </c>
      <c r="K114" s="16">
        <v>1.0</v>
      </c>
      <c r="L114" s="17">
        <v>45980.655625</v>
      </c>
      <c r="M114" s="17">
        <v>45983.63924768518</v>
      </c>
      <c r="N114" s="20"/>
      <c r="O114" s="18"/>
      <c r="P114" s="18"/>
      <c r="Q114" s="18"/>
      <c r="R114" s="18"/>
      <c r="S114" s="18"/>
      <c r="T114" s="18"/>
      <c r="U114" s="18"/>
    </row>
    <row r="115">
      <c r="A115" s="14">
        <f t="shared" si="1"/>
        <v>45980</v>
      </c>
      <c r="B115" s="15" t="s">
        <v>103</v>
      </c>
      <c r="C115" s="15" t="s">
        <v>30</v>
      </c>
      <c r="D115" s="15" t="s">
        <v>117</v>
      </c>
      <c r="E115" s="16">
        <v>4.370801435E9</v>
      </c>
      <c r="F115" s="15">
        <v>4.188494215E9</v>
      </c>
      <c r="G115" s="15" t="s">
        <v>38</v>
      </c>
      <c r="H115" s="15" t="s">
        <v>118</v>
      </c>
      <c r="I115" s="15" t="s">
        <v>118</v>
      </c>
      <c r="J115" s="16">
        <v>24900.0</v>
      </c>
      <c r="K115" s="16">
        <v>1.0</v>
      </c>
      <c r="L115" s="17">
        <v>45980.56712962963</v>
      </c>
      <c r="M115" s="17">
        <v>45981.500868055555</v>
      </c>
      <c r="N115" s="20"/>
      <c r="O115" s="18"/>
      <c r="P115" s="18"/>
      <c r="Q115" s="18"/>
      <c r="R115" s="18"/>
      <c r="S115" s="18"/>
      <c r="T115" s="18"/>
      <c r="U115" s="18"/>
    </row>
    <row r="116">
      <c r="A116" s="14">
        <f t="shared" si="1"/>
        <v>45980</v>
      </c>
      <c r="B116" s="15" t="s">
        <v>103</v>
      </c>
      <c r="C116" s="15" t="s">
        <v>30</v>
      </c>
      <c r="D116" s="15" t="s">
        <v>117</v>
      </c>
      <c r="E116" s="16">
        <v>4.370801437E9</v>
      </c>
      <c r="F116" s="15">
        <v>4.188494215E9</v>
      </c>
      <c r="G116" s="15" t="s">
        <v>38</v>
      </c>
      <c r="H116" s="15" t="s">
        <v>118</v>
      </c>
      <c r="I116" s="15" t="s">
        <v>118</v>
      </c>
      <c r="J116" s="16">
        <v>24900.0</v>
      </c>
      <c r="K116" s="16">
        <v>1.0</v>
      </c>
      <c r="L116" s="17">
        <v>45980.56712962963</v>
      </c>
      <c r="M116" s="17">
        <v>45981.500868055555</v>
      </c>
      <c r="N116" s="20"/>
      <c r="O116" s="18"/>
      <c r="P116" s="18"/>
      <c r="Q116" s="18"/>
      <c r="R116" s="18"/>
      <c r="S116" s="18"/>
      <c r="T116" s="18"/>
      <c r="U116" s="18"/>
    </row>
    <row r="117">
      <c r="A117" s="14">
        <f t="shared" si="1"/>
        <v>45980</v>
      </c>
      <c r="B117" s="15" t="s">
        <v>103</v>
      </c>
      <c r="C117" s="15" t="s">
        <v>30</v>
      </c>
      <c r="D117" s="15" t="s">
        <v>117</v>
      </c>
      <c r="E117" s="16">
        <v>4.370801434E9</v>
      </c>
      <c r="F117" s="15">
        <v>4.188494215E9</v>
      </c>
      <c r="G117" s="15" t="s">
        <v>38</v>
      </c>
      <c r="H117" s="15" t="s">
        <v>118</v>
      </c>
      <c r="I117" s="15" t="s">
        <v>118</v>
      </c>
      <c r="J117" s="16">
        <v>24900.0</v>
      </c>
      <c r="K117" s="16">
        <v>1.0</v>
      </c>
      <c r="L117" s="17">
        <v>45980.56712962963</v>
      </c>
      <c r="M117" s="17">
        <v>45981.500868055555</v>
      </c>
      <c r="N117" s="20"/>
      <c r="O117" s="18"/>
      <c r="P117" s="18"/>
      <c r="Q117" s="18"/>
      <c r="R117" s="18"/>
      <c r="S117" s="18"/>
      <c r="T117" s="18"/>
      <c r="U117" s="18"/>
    </row>
    <row r="118">
      <c r="A118" s="14">
        <f t="shared" si="1"/>
        <v>45980</v>
      </c>
      <c r="B118" s="15" t="s">
        <v>103</v>
      </c>
      <c r="C118" s="15" t="s">
        <v>30</v>
      </c>
      <c r="D118" s="15" t="s">
        <v>117</v>
      </c>
      <c r="E118" s="16">
        <v>4.370801433E9</v>
      </c>
      <c r="F118" s="15">
        <v>4.188494215E9</v>
      </c>
      <c r="G118" s="15" t="s">
        <v>38</v>
      </c>
      <c r="H118" s="15" t="s">
        <v>118</v>
      </c>
      <c r="I118" s="15" t="s">
        <v>118</v>
      </c>
      <c r="J118" s="16">
        <v>24900.0</v>
      </c>
      <c r="K118" s="16">
        <v>1.0</v>
      </c>
      <c r="L118" s="17">
        <v>45980.56712962963</v>
      </c>
      <c r="M118" s="17">
        <v>45981.500868055555</v>
      </c>
      <c r="N118" s="19"/>
      <c r="O118" s="18"/>
      <c r="P118" s="18"/>
      <c r="Q118" s="18"/>
      <c r="R118" s="18"/>
      <c r="S118" s="18"/>
      <c r="T118" s="18"/>
      <c r="U118" s="18"/>
    </row>
    <row r="119">
      <c r="A119" s="14">
        <f t="shared" si="1"/>
        <v>45980</v>
      </c>
      <c r="B119" s="15" t="s">
        <v>103</v>
      </c>
      <c r="C119" s="15" t="s">
        <v>30</v>
      </c>
      <c r="D119" s="15" t="s">
        <v>117</v>
      </c>
      <c r="E119" s="16">
        <v>4.370801436E9</v>
      </c>
      <c r="F119" s="15">
        <v>4.188494215E9</v>
      </c>
      <c r="G119" s="15" t="s">
        <v>38</v>
      </c>
      <c r="H119" s="15" t="s">
        <v>118</v>
      </c>
      <c r="I119" s="15" t="s">
        <v>118</v>
      </c>
      <c r="J119" s="16">
        <v>24900.0</v>
      </c>
      <c r="K119" s="16">
        <v>1.0</v>
      </c>
      <c r="L119" s="17">
        <v>45980.56712962963</v>
      </c>
      <c r="M119" s="17">
        <v>45981.500868055555</v>
      </c>
      <c r="N119" s="20"/>
      <c r="O119" s="18"/>
      <c r="P119" s="18"/>
      <c r="Q119" s="18"/>
      <c r="R119" s="18"/>
      <c r="S119" s="18"/>
      <c r="T119" s="18"/>
      <c r="U119" s="18"/>
    </row>
    <row r="120">
      <c r="A120" s="14">
        <f t="shared" si="1"/>
        <v>45980</v>
      </c>
      <c r="B120" s="15" t="s">
        <v>103</v>
      </c>
      <c r="C120" s="15" t="s">
        <v>30</v>
      </c>
      <c r="D120" s="15" t="s">
        <v>318</v>
      </c>
      <c r="E120" s="16">
        <v>4.370780155E9</v>
      </c>
      <c r="F120" s="15">
        <v>4.188494215E9</v>
      </c>
      <c r="G120" s="15" t="s">
        <v>38</v>
      </c>
      <c r="H120" s="15" t="s">
        <v>319</v>
      </c>
      <c r="I120" s="15" t="s">
        <v>320</v>
      </c>
      <c r="J120" s="16">
        <v>24900.0</v>
      </c>
      <c r="K120" s="16">
        <v>1.0</v>
      </c>
      <c r="L120" s="17">
        <v>45980.54040509259</v>
      </c>
      <c r="M120" s="17">
        <v>45981.500868055555</v>
      </c>
      <c r="N120" s="19"/>
      <c r="O120" s="18"/>
      <c r="P120" s="18"/>
      <c r="Q120" s="18"/>
      <c r="R120" s="18"/>
      <c r="S120" s="18"/>
      <c r="T120" s="18"/>
      <c r="U120" s="18"/>
    </row>
    <row r="121">
      <c r="A121" s="14">
        <f t="shared" si="1"/>
        <v>45980</v>
      </c>
      <c r="B121" s="15" t="s">
        <v>103</v>
      </c>
      <c r="C121" s="15" t="s">
        <v>30</v>
      </c>
      <c r="D121" s="15" t="s">
        <v>318</v>
      </c>
      <c r="E121" s="16">
        <v>4.370780156E9</v>
      </c>
      <c r="F121" s="15">
        <v>4.188494215E9</v>
      </c>
      <c r="G121" s="15" t="s">
        <v>38</v>
      </c>
      <c r="H121" s="15" t="s">
        <v>319</v>
      </c>
      <c r="I121" s="15" t="s">
        <v>320</v>
      </c>
      <c r="J121" s="16">
        <v>24900.0</v>
      </c>
      <c r="K121" s="16">
        <v>1.0</v>
      </c>
      <c r="L121" s="17">
        <v>45980.54040509259</v>
      </c>
      <c r="M121" s="17">
        <v>45981.500868055555</v>
      </c>
      <c r="N121" s="20"/>
      <c r="O121" s="18"/>
      <c r="P121" s="18"/>
      <c r="Q121" s="18"/>
      <c r="R121" s="18"/>
      <c r="S121" s="18"/>
      <c r="T121" s="18"/>
      <c r="U121" s="18"/>
    </row>
    <row r="122">
      <c r="A122" s="14">
        <f t="shared" si="1"/>
        <v>45980</v>
      </c>
      <c r="B122" s="15" t="s">
        <v>103</v>
      </c>
      <c r="C122" s="15" t="s">
        <v>30</v>
      </c>
      <c r="D122" s="15" t="s">
        <v>318</v>
      </c>
      <c r="E122" s="16">
        <v>4.370780158E9</v>
      </c>
      <c r="F122" s="15">
        <v>4.188494215E9</v>
      </c>
      <c r="G122" s="15" t="s">
        <v>38</v>
      </c>
      <c r="H122" s="15" t="s">
        <v>319</v>
      </c>
      <c r="I122" s="15" t="s">
        <v>320</v>
      </c>
      <c r="J122" s="16">
        <v>24900.0</v>
      </c>
      <c r="K122" s="16">
        <v>1.0</v>
      </c>
      <c r="L122" s="17">
        <v>45980.54040509259</v>
      </c>
      <c r="M122" s="17">
        <v>45981.500868055555</v>
      </c>
      <c r="N122" s="20"/>
      <c r="O122" s="18"/>
      <c r="P122" s="18"/>
      <c r="Q122" s="18"/>
      <c r="R122" s="18"/>
      <c r="S122" s="18"/>
      <c r="T122" s="18"/>
      <c r="U122" s="18"/>
    </row>
    <row r="123">
      <c r="A123" s="14">
        <f t="shared" si="1"/>
        <v>45980</v>
      </c>
      <c r="B123" s="15" t="s">
        <v>103</v>
      </c>
      <c r="C123" s="15" t="s">
        <v>30</v>
      </c>
      <c r="D123" s="15" t="s">
        <v>318</v>
      </c>
      <c r="E123" s="16">
        <v>4.370780157E9</v>
      </c>
      <c r="F123" s="15">
        <v>4.188494215E9</v>
      </c>
      <c r="G123" s="15" t="s">
        <v>38</v>
      </c>
      <c r="H123" s="15" t="s">
        <v>319</v>
      </c>
      <c r="I123" s="15" t="s">
        <v>320</v>
      </c>
      <c r="J123" s="16">
        <v>24900.0</v>
      </c>
      <c r="K123" s="16">
        <v>1.0</v>
      </c>
      <c r="L123" s="17">
        <v>45980.54040509259</v>
      </c>
      <c r="M123" s="17">
        <v>45981.500868055555</v>
      </c>
      <c r="N123" s="20"/>
      <c r="O123" s="18"/>
      <c r="P123" s="18"/>
      <c r="Q123" s="18"/>
      <c r="R123" s="18"/>
      <c r="S123" s="18"/>
      <c r="T123" s="18"/>
      <c r="U123" s="18"/>
    </row>
    <row r="124">
      <c r="A124" s="14">
        <f t="shared" si="1"/>
        <v>45980</v>
      </c>
      <c r="B124" s="15" t="s">
        <v>103</v>
      </c>
      <c r="C124" s="15" t="s">
        <v>30</v>
      </c>
      <c r="D124" s="15" t="s">
        <v>321</v>
      </c>
      <c r="E124" s="16">
        <v>4.370776021E9</v>
      </c>
      <c r="F124" s="15">
        <v>4.180306338E9</v>
      </c>
      <c r="G124" s="15" t="s">
        <v>35</v>
      </c>
      <c r="H124" s="15" t="s">
        <v>322</v>
      </c>
      <c r="I124" s="15" t="s">
        <v>323</v>
      </c>
      <c r="J124" s="16">
        <v>65000.0</v>
      </c>
      <c r="K124" s="16">
        <v>1.0</v>
      </c>
      <c r="L124" s="17">
        <v>45980.535625</v>
      </c>
      <c r="M124" s="17">
        <v>45981.66056712963</v>
      </c>
      <c r="N124" s="20"/>
      <c r="O124" s="18"/>
      <c r="P124" s="18"/>
      <c r="Q124" s="18"/>
      <c r="R124" s="18"/>
      <c r="S124" s="18"/>
      <c r="T124" s="18"/>
      <c r="U124" s="18"/>
    </row>
    <row r="125">
      <c r="A125" s="14">
        <f t="shared" si="1"/>
        <v>45980</v>
      </c>
      <c r="B125" s="15" t="s">
        <v>103</v>
      </c>
      <c r="C125" s="15" t="s">
        <v>30</v>
      </c>
      <c r="D125" s="15" t="s">
        <v>324</v>
      </c>
      <c r="E125" s="16">
        <v>4.370728137E9</v>
      </c>
      <c r="F125" s="15">
        <v>3.498944922E9</v>
      </c>
      <c r="G125" s="15" t="s">
        <v>325</v>
      </c>
      <c r="H125" s="15" t="s">
        <v>326</v>
      </c>
      <c r="I125" s="15" t="s">
        <v>326</v>
      </c>
      <c r="J125" s="16">
        <v>59000.0</v>
      </c>
      <c r="K125" s="16">
        <v>1.0</v>
      </c>
      <c r="L125" s="17">
        <v>45980.46763888889</v>
      </c>
      <c r="M125" s="17">
        <v>45981.500868055555</v>
      </c>
      <c r="N125" s="20"/>
      <c r="O125" s="18"/>
      <c r="P125" s="18"/>
      <c r="Q125" s="18"/>
      <c r="R125" s="18"/>
      <c r="S125" s="18"/>
      <c r="T125" s="18"/>
      <c r="U125" s="18"/>
    </row>
    <row r="126">
      <c r="A126" s="14">
        <f t="shared" si="1"/>
        <v>45980</v>
      </c>
      <c r="B126" s="15" t="s">
        <v>103</v>
      </c>
      <c r="C126" s="15" t="s">
        <v>30</v>
      </c>
      <c r="D126" s="15" t="s">
        <v>327</v>
      </c>
      <c r="E126" s="16">
        <v>4.370715135E9</v>
      </c>
      <c r="F126" s="15">
        <v>2.774671191E9</v>
      </c>
      <c r="G126" s="15" t="s">
        <v>131</v>
      </c>
      <c r="H126" s="15" t="s">
        <v>328</v>
      </c>
      <c r="I126" s="15" t="s">
        <v>329</v>
      </c>
      <c r="J126" s="16">
        <v>216000.0</v>
      </c>
      <c r="K126" s="16">
        <v>3.0</v>
      </c>
      <c r="L126" s="17">
        <v>45980.45071759259</v>
      </c>
      <c r="M126" s="17">
        <v>45981.65369212963</v>
      </c>
      <c r="N126" s="20"/>
      <c r="O126" s="18"/>
      <c r="P126" s="18"/>
      <c r="Q126" s="18"/>
      <c r="R126" s="18"/>
      <c r="S126" s="18"/>
      <c r="T126" s="18"/>
      <c r="U126" s="18"/>
    </row>
    <row r="127">
      <c r="A127" s="14">
        <f t="shared" si="1"/>
        <v>45980</v>
      </c>
      <c r="B127" s="15" t="s">
        <v>103</v>
      </c>
      <c r="C127" s="15" t="s">
        <v>30</v>
      </c>
      <c r="D127" s="15" t="s">
        <v>330</v>
      </c>
      <c r="E127" s="16">
        <v>4.37070935E9</v>
      </c>
      <c r="F127" s="15">
        <v>2.702301401E9</v>
      </c>
      <c r="G127" s="15" t="s">
        <v>81</v>
      </c>
      <c r="H127" s="15" t="s">
        <v>331</v>
      </c>
      <c r="I127" s="15" t="s">
        <v>332</v>
      </c>
      <c r="J127" s="16">
        <v>89700.0</v>
      </c>
      <c r="K127" s="16">
        <v>3.0</v>
      </c>
      <c r="L127" s="17">
        <v>45980.44364583334</v>
      </c>
      <c r="M127" s="17">
        <v>45981.66751157407</v>
      </c>
      <c r="N127" s="20"/>
      <c r="O127" s="18"/>
      <c r="P127" s="18"/>
      <c r="Q127" s="18"/>
      <c r="R127" s="18"/>
      <c r="S127" s="18"/>
      <c r="T127" s="18"/>
      <c r="U127" s="18"/>
    </row>
    <row r="128">
      <c r="A128" s="14">
        <f t="shared" si="1"/>
        <v>45980</v>
      </c>
      <c r="B128" s="15" t="s">
        <v>170</v>
      </c>
      <c r="C128" s="15" t="s">
        <v>40</v>
      </c>
      <c r="D128" s="15" t="s">
        <v>333</v>
      </c>
      <c r="E128" s="16">
        <v>2.540291475E9</v>
      </c>
      <c r="F128" s="15" t="s">
        <v>42</v>
      </c>
      <c r="G128" s="15" t="s">
        <v>43</v>
      </c>
      <c r="H128" s="15" t="s">
        <v>334</v>
      </c>
      <c r="I128" s="15" t="s">
        <v>334</v>
      </c>
      <c r="J128" s="16">
        <v>59000.0</v>
      </c>
      <c r="K128" s="16">
        <v>1.0</v>
      </c>
      <c r="L128" s="17">
        <v>45980.399305555555</v>
      </c>
      <c r="M128" s="17">
        <v>45981.670902777776</v>
      </c>
      <c r="N128" s="17">
        <v>45989.10277777778</v>
      </c>
      <c r="O128" s="18"/>
      <c r="P128" s="18"/>
      <c r="Q128" s="18"/>
      <c r="R128" s="18"/>
      <c r="S128" s="18"/>
      <c r="T128" s="18"/>
      <c r="U128" s="18"/>
    </row>
    <row r="129">
      <c r="A129" s="14">
        <f t="shared" si="1"/>
        <v>45980</v>
      </c>
      <c r="B129" s="15" t="s">
        <v>103</v>
      </c>
      <c r="C129" s="15" t="s">
        <v>30</v>
      </c>
      <c r="D129" s="15" t="s">
        <v>335</v>
      </c>
      <c r="E129" s="16">
        <v>4.370659547E9</v>
      </c>
      <c r="F129" s="15">
        <v>3.252522586E9</v>
      </c>
      <c r="G129" s="15" t="s">
        <v>64</v>
      </c>
      <c r="H129" s="15" t="s">
        <v>336</v>
      </c>
      <c r="I129" s="15" t="s">
        <v>337</v>
      </c>
      <c r="J129" s="16">
        <v>87800.0</v>
      </c>
      <c r="K129" s="16">
        <v>2.0</v>
      </c>
      <c r="L129" s="17">
        <v>45980.376921296294</v>
      </c>
      <c r="M129" s="17">
        <v>45981.611979166664</v>
      </c>
      <c r="N129" s="20"/>
      <c r="O129" s="18"/>
      <c r="P129" s="18"/>
      <c r="Q129" s="18"/>
      <c r="R129" s="18"/>
      <c r="S129" s="18"/>
      <c r="T129" s="18"/>
      <c r="U129" s="18"/>
    </row>
    <row r="130">
      <c r="A130" s="14">
        <f t="shared" si="1"/>
        <v>45980</v>
      </c>
      <c r="B130" s="15" t="s">
        <v>170</v>
      </c>
      <c r="C130" s="15" t="s">
        <v>40</v>
      </c>
      <c r="D130" s="15" t="s">
        <v>338</v>
      </c>
      <c r="E130" s="16">
        <v>2.540283608E9</v>
      </c>
      <c r="F130" s="15" t="s">
        <v>226</v>
      </c>
      <c r="G130" s="15" t="s">
        <v>35</v>
      </c>
      <c r="H130" s="15" t="s">
        <v>339</v>
      </c>
      <c r="I130" s="15" t="s">
        <v>339</v>
      </c>
      <c r="J130" s="16">
        <v>65000.0</v>
      </c>
      <c r="K130" s="16">
        <v>1.0</v>
      </c>
      <c r="L130" s="17">
        <v>45980.35486111111</v>
      </c>
      <c r="M130" s="17">
        <v>45981.72862268519</v>
      </c>
      <c r="N130" s="17">
        <v>45989.100694444445</v>
      </c>
      <c r="O130" s="18"/>
      <c r="P130" s="18"/>
      <c r="Q130" s="18"/>
      <c r="R130" s="18"/>
      <c r="S130" s="18"/>
      <c r="T130" s="18"/>
      <c r="U130" s="18"/>
    </row>
    <row r="131">
      <c r="A131" s="14">
        <f t="shared" si="1"/>
        <v>45980</v>
      </c>
      <c r="B131" s="15" t="s">
        <v>170</v>
      </c>
      <c r="C131" s="15" t="s">
        <v>40</v>
      </c>
      <c r="D131" s="15" t="s">
        <v>340</v>
      </c>
      <c r="E131" s="16">
        <v>2.540274273E9</v>
      </c>
      <c r="F131" s="15" t="s">
        <v>42</v>
      </c>
      <c r="G131" s="15" t="s">
        <v>43</v>
      </c>
      <c r="H131" s="15" t="s">
        <v>341</v>
      </c>
      <c r="I131" s="15" t="s">
        <v>341</v>
      </c>
      <c r="J131" s="16">
        <v>59000.0</v>
      </c>
      <c r="K131" s="16">
        <v>1.0</v>
      </c>
      <c r="L131" s="17">
        <v>45980.26527777778</v>
      </c>
      <c r="M131" s="17">
        <v>45981.500763888886</v>
      </c>
      <c r="N131" s="17">
        <v>45989.09722222222</v>
      </c>
      <c r="O131" s="18"/>
      <c r="P131" s="18"/>
      <c r="Q131" s="18"/>
      <c r="R131" s="18"/>
      <c r="S131" s="18"/>
      <c r="T131" s="18"/>
      <c r="U131" s="18"/>
    </row>
    <row r="132">
      <c r="A132" s="14">
        <f t="shared" si="1"/>
        <v>45980</v>
      </c>
      <c r="B132" s="15" t="s">
        <v>170</v>
      </c>
      <c r="C132" s="15" t="s">
        <v>30</v>
      </c>
      <c r="D132" s="15" t="s">
        <v>261</v>
      </c>
      <c r="E132" s="16">
        <v>4.370624562E9</v>
      </c>
      <c r="F132" s="15">
        <v>4.180303895E9</v>
      </c>
      <c r="G132" s="15" t="s">
        <v>43</v>
      </c>
      <c r="H132" s="15" t="s">
        <v>262</v>
      </c>
      <c r="I132" s="15" t="s">
        <v>262</v>
      </c>
      <c r="J132" s="16">
        <v>118000.0</v>
      </c>
      <c r="K132" s="16">
        <v>2.0</v>
      </c>
      <c r="L132" s="17">
        <v>45980.261354166665</v>
      </c>
      <c r="M132" s="17">
        <v>45981.68846064815</v>
      </c>
      <c r="N132" s="17">
        <v>45982.0</v>
      </c>
      <c r="O132" s="18"/>
      <c r="P132" s="18"/>
      <c r="Q132" s="18"/>
      <c r="R132" s="18"/>
      <c r="S132" s="18"/>
      <c r="T132" s="18"/>
      <c r="U132" s="18"/>
    </row>
    <row r="133">
      <c r="A133" s="14">
        <f t="shared" si="1"/>
        <v>45979</v>
      </c>
      <c r="B133" s="15" t="s">
        <v>47</v>
      </c>
      <c r="C133" s="15" t="s">
        <v>30</v>
      </c>
      <c r="D133" s="15" t="s">
        <v>342</v>
      </c>
      <c r="E133" s="16">
        <v>4.370590837E9</v>
      </c>
      <c r="F133" s="15">
        <v>4.544699629E9</v>
      </c>
      <c r="G133" s="15" t="s">
        <v>212</v>
      </c>
      <c r="H133" s="15" t="s">
        <v>343</v>
      </c>
      <c r="I133" s="15" t="s">
        <v>343</v>
      </c>
      <c r="J133" s="16">
        <v>145000.0</v>
      </c>
      <c r="K133" s="16">
        <v>1.0</v>
      </c>
      <c r="L133" s="17">
        <v>45979.995092592595</v>
      </c>
      <c r="M133" s="20"/>
      <c r="N133" s="20"/>
      <c r="O133" s="18"/>
      <c r="P133" s="18"/>
      <c r="Q133" s="18"/>
      <c r="R133" s="18"/>
      <c r="S133" s="18"/>
      <c r="T133" s="18"/>
      <c r="U133" s="18"/>
    </row>
    <row r="134">
      <c r="A134" s="14">
        <f t="shared" si="1"/>
        <v>45979</v>
      </c>
      <c r="B134" s="15" t="s">
        <v>103</v>
      </c>
      <c r="C134" s="15" t="s">
        <v>30</v>
      </c>
      <c r="D134" s="15" t="s">
        <v>344</v>
      </c>
      <c r="E134" s="16">
        <v>4.370497098E9</v>
      </c>
      <c r="F134" s="15">
        <v>4.180303895E9</v>
      </c>
      <c r="G134" s="15" t="s">
        <v>43</v>
      </c>
      <c r="H134" s="15" t="s">
        <v>345</v>
      </c>
      <c r="I134" s="15" t="s">
        <v>345</v>
      </c>
      <c r="J134" s="16">
        <v>59000.0</v>
      </c>
      <c r="K134" s="16">
        <v>1.0</v>
      </c>
      <c r="L134" s="17">
        <v>45979.82386574074</v>
      </c>
      <c r="M134" s="17">
        <v>45981.487025462964</v>
      </c>
      <c r="N134" s="20"/>
      <c r="O134" s="18"/>
      <c r="P134" s="18"/>
      <c r="Q134" s="18"/>
      <c r="R134" s="18"/>
      <c r="S134" s="18"/>
      <c r="T134" s="18"/>
      <c r="U134" s="18"/>
    </row>
    <row r="135">
      <c r="A135" s="14">
        <f t="shared" si="1"/>
        <v>45979</v>
      </c>
      <c r="B135" s="15" t="s">
        <v>103</v>
      </c>
      <c r="C135" s="15" t="s">
        <v>30</v>
      </c>
      <c r="D135" s="15" t="s">
        <v>346</v>
      </c>
      <c r="E135" s="16">
        <v>4.370480701E9</v>
      </c>
      <c r="F135" s="15">
        <v>1.784307306E9</v>
      </c>
      <c r="G135" s="15" t="s">
        <v>55</v>
      </c>
      <c r="H135" s="15" t="s">
        <v>347</v>
      </c>
      <c r="I135" s="15" t="s">
        <v>347</v>
      </c>
      <c r="J135" s="16">
        <v>47900.0</v>
      </c>
      <c r="K135" s="16">
        <v>1.0</v>
      </c>
      <c r="L135" s="17">
        <v>45979.77607638889</v>
      </c>
      <c r="M135" s="17">
        <v>45981.56337962963</v>
      </c>
      <c r="N135" s="20"/>
      <c r="O135" s="18"/>
      <c r="P135" s="18"/>
      <c r="Q135" s="18"/>
      <c r="R135" s="18"/>
      <c r="S135" s="18"/>
      <c r="T135" s="18"/>
      <c r="U135" s="18"/>
    </row>
    <row r="136">
      <c r="A136" s="14">
        <f t="shared" si="1"/>
        <v>45979</v>
      </c>
      <c r="B136" s="15" t="s">
        <v>103</v>
      </c>
      <c r="C136" s="15" t="s">
        <v>30</v>
      </c>
      <c r="D136" s="15" t="s">
        <v>348</v>
      </c>
      <c r="E136" s="16">
        <v>4.370433018E9</v>
      </c>
      <c r="F136" s="15">
        <v>4.113880902E9</v>
      </c>
      <c r="G136" s="15" t="s">
        <v>58</v>
      </c>
      <c r="H136" s="15" t="s">
        <v>349</v>
      </c>
      <c r="I136" s="15" t="s">
        <v>349</v>
      </c>
      <c r="J136" s="16">
        <v>14500.0</v>
      </c>
      <c r="K136" s="16">
        <v>1.0</v>
      </c>
      <c r="L136" s="17">
        <v>45979.674259259256</v>
      </c>
      <c r="M136" s="17">
        <v>45981.76474537037</v>
      </c>
      <c r="N136" s="20"/>
      <c r="O136" s="18"/>
      <c r="P136" s="18"/>
      <c r="Q136" s="18"/>
      <c r="R136" s="18"/>
      <c r="S136" s="18"/>
      <c r="T136" s="18"/>
      <c r="U136" s="18"/>
    </row>
    <row r="137">
      <c r="A137" s="14">
        <f t="shared" si="1"/>
        <v>45979</v>
      </c>
      <c r="B137" s="15" t="s">
        <v>170</v>
      </c>
      <c r="C137" s="15" t="s">
        <v>40</v>
      </c>
      <c r="D137" s="15" t="s">
        <v>350</v>
      </c>
      <c r="E137" s="16">
        <v>2.540210522E9</v>
      </c>
      <c r="F137" s="15" t="s">
        <v>42</v>
      </c>
      <c r="G137" s="15" t="s">
        <v>43</v>
      </c>
      <c r="H137" s="15" t="s">
        <v>351</v>
      </c>
      <c r="I137" s="15" t="s">
        <v>351</v>
      </c>
      <c r="J137" s="16">
        <v>59000.0</v>
      </c>
      <c r="K137" s="16">
        <v>1.0</v>
      </c>
      <c r="L137" s="17">
        <v>45979.665972222225</v>
      </c>
      <c r="M137" s="17">
        <v>45981.58572916667</v>
      </c>
      <c r="N137" s="17">
        <v>45989.06458333333</v>
      </c>
      <c r="O137" s="18"/>
      <c r="P137" s="18"/>
      <c r="Q137" s="18"/>
      <c r="R137" s="18"/>
      <c r="S137" s="18"/>
      <c r="T137" s="18"/>
      <c r="U137" s="18"/>
    </row>
    <row r="138">
      <c r="A138" s="14">
        <f t="shared" si="1"/>
        <v>693961</v>
      </c>
      <c r="B138" s="15" t="s">
        <v>47</v>
      </c>
      <c r="C138" s="15" t="s">
        <v>30</v>
      </c>
      <c r="D138" s="15" t="s">
        <v>313</v>
      </c>
      <c r="E138" s="16">
        <v>4.370417613E9</v>
      </c>
      <c r="F138" s="15">
        <v>1.784307306E9</v>
      </c>
      <c r="G138" s="15" t="s">
        <v>55</v>
      </c>
      <c r="H138" s="15" t="s">
        <v>352</v>
      </c>
      <c r="I138" s="15" t="s">
        <v>353</v>
      </c>
      <c r="J138" s="16">
        <v>47900.0</v>
      </c>
      <c r="K138" s="16">
        <v>1.0</v>
      </c>
      <c r="L138" s="20"/>
      <c r="M138" s="20"/>
      <c r="N138" s="20"/>
      <c r="O138" s="18"/>
      <c r="P138" s="18"/>
      <c r="Q138" s="18"/>
      <c r="R138" s="18"/>
      <c r="S138" s="18"/>
      <c r="T138" s="18"/>
      <c r="U138" s="18"/>
    </row>
    <row r="139">
      <c r="A139" s="14">
        <f t="shared" si="1"/>
        <v>45979</v>
      </c>
      <c r="B139" s="15" t="s">
        <v>103</v>
      </c>
      <c r="C139" s="15" t="s">
        <v>30</v>
      </c>
      <c r="D139" s="15" t="s">
        <v>354</v>
      </c>
      <c r="E139" s="16">
        <v>4.370373676E9</v>
      </c>
      <c r="F139" s="15">
        <v>4.180303895E9</v>
      </c>
      <c r="G139" s="15" t="s">
        <v>43</v>
      </c>
      <c r="H139" s="15" t="s">
        <v>355</v>
      </c>
      <c r="I139" s="15" t="s">
        <v>355</v>
      </c>
      <c r="J139" s="16">
        <v>59000.0</v>
      </c>
      <c r="K139" s="16">
        <v>1.0</v>
      </c>
      <c r="L139" s="17">
        <v>45979.58238425926</v>
      </c>
      <c r="M139" s="17">
        <v>45981.716203703705</v>
      </c>
      <c r="N139" s="20"/>
      <c r="O139" s="18"/>
      <c r="P139" s="18"/>
      <c r="Q139" s="18"/>
      <c r="R139" s="18"/>
      <c r="S139" s="18"/>
      <c r="T139" s="18"/>
      <c r="U139" s="18"/>
    </row>
    <row r="140">
      <c r="A140" s="14">
        <f t="shared" si="1"/>
        <v>45979</v>
      </c>
      <c r="B140" s="15" t="s">
        <v>170</v>
      </c>
      <c r="C140" s="15" t="s">
        <v>30</v>
      </c>
      <c r="D140" s="15" t="s">
        <v>356</v>
      </c>
      <c r="E140" s="16">
        <v>4.370338026E9</v>
      </c>
      <c r="F140" s="15">
        <v>4.396286099E9</v>
      </c>
      <c r="G140" s="15" t="s">
        <v>250</v>
      </c>
      <c r="H140" s="15" t="s">
        <v>357</v>
      </c>
      <c r="I140" s="15" t="s">
        <v>358</v>
      </c>
      <c r="J140" s="16">
        <v>28000.0</v>
      </c>
      <c r="K140" s="16">
        <v>1.0</v>
      </c>
      <c r="L140" s="17">
        <v>45979.52811342593</v>
      </c>
      <c r="M140" s="17">
        <v>45980.63978009259</v>
      </c>
      <c r="N140" s="17">
        <v>45989.0</v>
      </c>
      <c r="O140" s="18"/>
      <c r="P140" s="18"/>
      <c r="Q140" s="18"/>
      <c r="R140" s="18"/>
      <c r="S140" s="18"/>
      <c r="T140" s="18"/>
      <c r="U140" s="18"/>
    </row>
    <row r="141">
      <c r="A141" s="14">
        <f t="shared" si="1"/>
        <v>45979</v>
      </c>
      <c r="B141" s="15" t="s">
        <v>170</v>
      </c>
      <c r="C141" s="15" t="s">
        <v>30</v>
      </c>
      <c r="D141" s="15" t="s">
        <v>359</v>
      </c>
      <c r="E141" s="16">
        <v>4.370333334E9</v>
      </c>
      <c r="F141" s="15">
        <v>4.180306338E9</v>
      </c>
      <c r="G141" s="15" t="s">
        <v>35</v>
      </c>
      <c r="H141" s="15" t="s">
        <v>360</v>
      </c>
      <c r="I141" s="15" t="s">
        <v>360</v>
      </c>
      <c r="J141" s="16">
        <v>65000.0</v>
      </c>
      <c r="K141" s="16">
        <v>1.0</v>
      </c>
      <c r="L141" s="17">
        <v>45979.51981481481</v>
      </c>
      <c r="M141" s="17">
        <v>45980.702372685184</v>
      </c>
      <c r="N141" s="17">
        <v>45981.0</v>
      </c>
      <c r="O141" s="18"/>
      <c r="P141" s="18"/>
      <c r="Q141" s="18"/>
      <c r="R141" s="18"/>
      <c r="S141" s="18"/>
      <c r="T141" s="18"/>
      <c r="U141" s="18"/>
    </row>
    <row r="142">
      <c r="A142" s="14">
        <f t="shared" si="1"/>
        <v>45979</v>
      </c>
      <c r="B142" s="15" t="s">
        <v>170</v>
      </c>
      <c r="C142" s="15" t="s">
        <v>30</v>
      </c>
      <c r="D142" s="15" t="s">
        <v>361</v>
      </c>
      <c r="E142" s="16">
        <v>4.370326025E9</v>
      </c>
      <c r="F142" s="15">
        <v>4.180303895E9</v>
      </c>
      <c r="G142" s="15" t="s">
        <v>43</v>
      </c>
      <c r="H142" s="15" t="s">
        <v>362</v>
      </c>
      <c r="I142" s="15" t="s">
        <v>362</v>
      </c>
      <c r="J142" s="16">
        <v>59000.0</v>
      </c>
      <c r="K142" s="16">
        <v>1.0</v>
      </c>
      <c r="L142" s="17">
        <v>45979.506203703706</v>
      </c>
      <c r="M142" s="17">
        <v>45980.72314814815</v>
      </c>
      <c r="N142" s="17">
        <v>45982.0</v>
      </c>
      <c r="O142" s="18"/>
      <c r="P142" s="18"/>
      <c r="Q142" s="18"/>
      <c r="R142" s="18"/>
      <c r="S142" s="18"/>
      <c r="T142" s="18"/>
      <c r="U142" s="18"/>
    </row>
    <row r="143">
      <c r="A143" s="14">
        <f t="shared" si="1"/>
        <v>45979</v>
      </c>
      <c r="B143" s="15" t="s">
        <v>170</v>
      </c>
      <c r="C143" s="15" t="s">
        <v>30</v>
      </c>
      <c r="D143" s="15" t="s">
        <v>363</v>
      </c>
      <c r="E143" s="16">
        <v>4.370277474E9</v>
      </c>
      <c r="F143" s="15">
        <v>4.180303895E9</v>
      </c>
      <c r="G143" s="15" t="s">
        <v>43</v>
      </c>
      <c r="H143" s="15" t="s">
        <v>364</v>
      </c>
      <c r="I143" s="15" t="s">
        <v>364</v>
      </c>
      <c r="J143" s="16">
        <v>59000.0</v>
      </c>
      <c r="K143" s="16">
        <v>1.0</v>
      </c>
      <c r="L143" s="17">
        <v>45979.44105324074</v>
      </c>
      <c r="M143" s="17">
        <v>45980.71625</v>
      </c>
      <c r="N143" s="17">
        <v>45982.0</v>
      </c>
      <c r="O143" s="18"/>
      <c r="P143" s="18"/>
      <c r="Q143" s="18"/>
      <c r="R143" s="18"/>
      <c r="S143" s="18"/>
      <c r="T143" s="18"/>
      <c r="U143" s="18"/>
    </row>
    <row r="144">
      <c r="A144" s="14">
        <f t="shared" si="1"/>
        <v>45979</v>
      </c>
      <c r="B144" s="15" t="s">
        <v>170</v>
      </c>
      <c r="C144" s="15" t="s">
        <v>40</v>
      </c>
      <c r="D144" s="15" t="s">
        <v>365</v>
      </c>
      <c r="E144" s="16">
        <v>2.540167106E9</v>
      </c>
      <c r="F144" s="15" t="s">
        <v>42</v>
      </c>
      <c r="G144" s="15" t="s">
        <v>43</v>
      </c>
      <c r="H144" s="15" t="s">
        <v>366</v>
      </c>
      <c r="I144" s="15" t="s">
        <v>367</v>
      </c>
      <c r="J144" s="16">
        <v>118000.0</v>
      </c>
      <c r="K144" s="16">
        <v>2.0</v>
      </c>
      <c r="L144" s="17">
        <v>45979.42986111111</v>
      </c>
      <c r="M144" s="17">
        <v>45980.57561342593</v>
      </c>
      <c r="N144" s="17">
        <v>45988.10972222222</v>
      </c>
      <c r="O144" s="18"/>
      <c r="P144" s="18"/>
      <c r="Q144" s="18"/>
      <c r="R144" s="18"/>
      <c r="S144" s="18"/>
      <c r="T144" s="18"/>
      <c r="U144" s="18"/>
    </row>
    <row r="145">
      <c r="A145" s="14">
        <f t="shared" si="1"/>
        <v>45979</v>
      </c>
      <c r="B145" s="15" t="s">
        <v>170</v>
      </c>
      <c r="C145" s="15" t="s">
        <v>40</v>
      </c>
      <c r="D145" s="15" t="s">
        <v>368</v>
      </c>
      <c r="E145" s="16">
        <v>2.540148992E9</v>
      </c>
      <c r="F145" s="15" t="s">
        <v>42</v>
      </c>
      <c r="G145" s="15" t="s">
        <v>43</v>
      </c>
      <c r="H145" s="15" t="s">
        <v>369</v>
      </c>
      <c r="I145" s="15" t="s">
        <v>369</v>
      </c>
      <c r="J145" s="16">
        <v>59000.0</v>
      </c>
      <c r="K145" s="16">
        <v>1.0</v>
      </c>
      <c r="L145" s="17">
        <v>45979.31527777778</v>
      </c>
      <c r="M145" s="17">
        <v>45980.67335648148</v>
      </c>
      <c r="N145" s="17">
        <v>45988.10277777778</v>
      </c>
      <c r="O145" s="18"/>
      <c r="P145" s="18"/>
      <c r="Q145" s="18"/>
      <c r="R145" s="18"/>
      <c r="S145" s="18"/>
      <c r="T145" s="18"/>
      <c r="U145" s="18"/>
    </row>
    <row r="146">
      <c r="A146" s="14">
        <f t="shared" si="1"/>
        <v>45979</v>
      </c>
      <c r="B146" s="15" t="s">
        <v>170</v>
      </c>
      <c r="C146" s="15" t="s">
        <v>30</v>
      </c>
      <c r="D146" s="15" t="s">
        <v>370</v>
      </c>
      <c r="E146" s="16">
        <v>4.370187132E9</v>
      </c>
      <c r="F146" s="15">
        <v>4.180303895E9</v>
      </c>
      <c r="G146" s="15" t="s">
        <v>43</v>
      </c>
      <c r="H146" s="15" t="s">
        <v>371</v>
      </c>
      <c r="I146" s="15" t="s">
        <v>371</v>
      </c>
      <c r="J146" s="16">
        <v>59000.0</v>
      </c>
      <c r="K146" s="16">
        <v>1.0</v>
      </c>
      <c r="L146" s="17">
        <v>45979.2452662037</v>
      </c>
      <c r="M146" s="17">
        <v>45980.618842592594</v>
      </c>
      <c r="N146" s="17">
        <v>45989.0</v>
      </c>
      <c r="O146" s="18"/>
      <c r="P146" s="18"/>
      <c r="Q146" s="18"/>
      <c r="R146" s="18"/>
      <c r="S146" s="18"/>
      <c r="T146" s="18"/>
      <c r="U146" s="18"/>
    </row>
    <row r="147">
      <c r="A147" s="14">
        <f t="shared" si="1"/>
        <v>45978</v>
      </c>
      <c r="B147" s="15" t="s">
        <v>170</v>
      </c>
      <c r="C147" s="15" t="s">
        <v>30</v>
      </c>
      <c r="D147" s="15" t="s">
        <v>372</v>
      </c>
      <c r="E147" s="16">
        <v>4.370125154E9</v>
      </c>
      <c r="F147" s="15">
        <v>4.180303895E9</v>
      </c>
      <c r="G147" s="15" t="s">
        <v>43</v>
      </c>
      <c r="H147" s="15" t="s">
        <v>373</v>
      </c>
      <c r="I147" s="15" t="s">
        <v>373</v>
      </c>
      <c r="J147" s="16">
        <v>59000.0</v>
      </c>
      <c r="K147" s="16">
        <v>1.0</v>
      </c>
      <c r="L147" s="17">
        <v>45978.94133101852</v>
      </c>
      <c r="M147" s="17">
        <v>45980.62596064815</v>
      </c>
      <c r="N147" s="17">
        <v>45989.0</v>
      </c>
      <c r="O147" s="18"/>
      <c r="P147" s="18"/>
      <c r="Q147" s="18"/>
      <c r="R147" s="18"/>
      <c r="S147" s="18"/>
      <c r="T147" s="18"/>
      <c r="U147" s="18"/>
    </row>
    <row r="148">
      <c r="A148" s="14">
        <f t="shared" si="1"/>
        <v>45978</v>
      </c>
      <c r="B148" s="15" t="s">
        <v>47</v>
      </c>
      <c r="C148" s="15" t="s">
        <v>30</v>
      </c>
      <c r="D148" s="15" t="s">
        <v>374</v>
      </c>
      <c r="E148" s="16">
        <v>4.370107436E9</v>
      </c>
      <c r="F148" s="15">
        <v>4.180303895E9</v>
      </c>
      <c r="G148" s="15" t="s">
        <v>43</v>
      </c>
      <c r="H148" s="15" t="s">
        <v>375</v>
      </c>
      <c r="I148" s="15" t="s">
        <v>375</v>
      </c>
      <c r="J148" s="16">
        <v>59000.0</v>
      </c>
      <c r="K148" s="16">
        <v>1.0</v>
      </c>
      <c r="L148" s="17">
        <v>45978.910949074074</v>
      </c>
      <c r="M148" s="20"/>
      <c r="N148" s="20"/>
      <c r="O148" s="18"/>
      <c r="P148" s="18"/>
      <c r="Q148" s="18"/>
      <c r="R148" s="18"/>
      <c r="S148" s="18"/>
      <c r="T148" s="18"/>
      <c r="U148" s="18"/>
    </row>
    <row r="149">
      <c r="A149" s="14">
        <f t="shared" si="1"/>
        <v>45978</v>
      </c>
      <c r="B149" s="15" t="s">
        <v>170</v>
      </c>
      <c r="C149" s="15" t="s">
        <v>30</v>
      </c>
      <c r="D149" s="15" t="s">
        <v>376</v>
      </c>
      <c r="E149" s="16">
        <v>4.370068748E9</v>
      </c>
      <c r="F149" s="15">
        <v>4.180303895E9</v>
      </c>
      <c r="G149" s="15" t="s">
        <v>43</v>
      </c>
      <c r="H149" s="15" t="s">
        <v>377</v>
      </c>
      <c r="I149" s="15" t="s">
        <v>377</v>
      </c>
      <c r="J149" s="16">
        <v>59000.0</v>
      </c>
      <c r="K149" s="16">
        <v>1.0</v>
      </c>
      <c r="L149" s="17">
        <v>45978.84059027778</v>
      </c>
      <c r="M149" s="17">
        <v>45981.633055555554</v>
      </c>
      <c r="N149" s="17">
        <v>45985.0</v>
      </c>
      <c r="O149" s="18"/>
      <c r="P149" s="18"/>
      <c r="Q149" s="18"/>
      <c r="R149" s="18"/>
      <c r="S149" s="18"/>
      <c r="T149" s="18"/>
      <c r="U149" s="18"/>
    </row>
    <row r="150">
      <c r="A150" s="14">
        <f t="shared" si="1"/>
        <v>45978</v>
      </c>
      <c r="B150" s="15" t="s">
        <v>170</v>
      </c>
      <c r="C150" s="15" t="s">
        <v>30</v>
      </c>
      <c r="D150" s="15" t="s">
        <v>378</v>
      </c>
      <c r="E150" s="16">
        <v>4.369993944E9</v>
      </c>
      <c r="F150" s="15">
        <v>4.546798282E9</v>
      </c>
      <c r="G150" s="15" t="s">
        <v>135</v>
      </c>
      <c r="H150" s="15" t="s">
        <v>379</v>
      </c>
      <c r="I150" s="15" t="s">
        <v>379</v>
      </c>
      <c r="J150" s="16">
        <v>109000.0</v>
      </c>
      <c r="K150" s="16">
        <v>1.0</v>
      </c>
      <c r="L150" s="17">
        <v>45978.67429398148</v>
      </c>
      <c r="M150" s="17">
        <v>45980.84799768519</v>
      </c>
      <c r="N150" s="17">
        <v>45989.0</v>
      </c>
      <c r="O150" s="18"/>
      <c r="P150" s="18"/>
      <c r="Q150" s="18"/>
      <c r="R150" s="18"/>
      <c r="S150" s="18"/>
      <c r="T150" s="18"/>
      <c r="U150" s="18"/>
    </row>
    <row r="151">
      <c r="A151" s="14">
        <f t="shared" si="1"/>
        <v>45978</v>
      </c>
      <c r="B151" s="15" t="s">
        <v>170</v>
      </c>
      <c r="C151" s="15" t="s">
        <v>30</v>
      </c>
      <c r="D151" s="15" t="s">
        <v>380</v>
      </c>
      <c r="E151" s="16">
        <v>4.369936529E9</v>
      </c>
      <c r="F151" s="15">
        <v>4.544699629E9</v>
      </c>
      <c r="G151" s="15" t="s">
        <v>212</v>
      </c>
      <c r="H151" s="15" t="s">
        <v>381</v>
      </c>
      <c r="I151" s="15" t="s">
        <v>381</v>
      </c>
      <c r="J151" s="16">
        <v>145000.0</v>
      </c>
      <c r="K151" s="16">
        <v>1.0</v>
      </c>
      <c r="L151" s="17">
        <v>45978.58628472222</v>
      </c>
      <c r="M151" s="17">
        <v>45980.660775462966</v>
      </c>
      <c r="N151" s="17">
        <v>45982.0</v>
      </c>
      <c r="O151" s="18"/>
      <c r="P151" s="18"/>
      <c r="Q151" s="18"/>
      <c r="R151" s="18"/>
      <c r="S151" s="18"/>
      <c r="T151" s="18"/>
      <c r="U151" s="18"/>
    </row>
    <row r="152">
      <c r="A152" s="14">
        <f t="shared" si="1"/>
        <v>45978</v>
      </c>
      <c r="B152" s="15" t="s">
        <v>170</v>
      </c>
      <c r="C152" s="15" t="s">
        <v>40</v>
      </c>
      <c r="D152" s="15" t="s">
        <v>382</v>
      </c>
      <c r="E152" s="16">
        <v>2.540051133E9</v>
      </c>
      <c r="F152" s="15" t="s">
        <v>42</v>
      </c>
      <c r="G152" s="15" t="s">
        <v>43</v>
      </c>
      <c r="H152" s="15" t="s">
        <v>383</v>
      </c>
      <c r="I152" s="15" t="s">
        <v>383</v>
      </c>
      <c r="J152" s="16">
        <v>59000.0</v>
      </c>
      <c r="K152" s="16">
        <v>1.0</v>
      </c>
      <c r="L152" s="17">
        <v>45978.50277777778</v>
      </c>
      <c r="M152" s="17">
        <v>45980.434907407405</v>
      </c>
      <c r="N152" s="17">
        <v>45988.05347222222</v>
      </c>
      <c r="O152" s="18"/>
      <c r="P152" s="18"/>
      <c r="Q152" s="18"/>
      <c r="R152" s="18"/>
      <c r="S152" s="18"/>
      <c r="T152" s="18"/>
      <c r="U152" s="18"/>
    </row>
    <row r="153">
      <c r="A153" s="14">
        <f t="shared" si="1"/>
        <v>45978</v>
      </c>
      <c r="B153" s="15" t="s">
        <v>170</v>
      </c>
      <c r="C153" s="15" t="s">
        <v>30</v>
      </c>
      <c r="D153" s="15" t="s">
        <v>384</v>
      </c>
      <c r="E153" s="16">
        <v>4.369741956E9</v>
      </c>
      <c r="F153" s="15">
        <v>4.180303895E9</v>
      </c>
      <c r="G153" s="15" t="s">
        <v>43</v>
      </c>
      <c r="H153" s="15" t="s">
        <v>385</v>
      </c>
      <c r="I153" s="15" t="s">
        <v>385</v>
      </c>
      <c r="J153" s="16">
        <v>59000.0</v>
      </c>
      <c r="K153" s="16">
        <v>1.0</v>
      </c>
      <c r="L153" s="17">
        <v>45978.06738425926</v>
      </c>
      <c r="M153" s="17">
        <v>45979.73704861111</v>
      </c>
      <c r="N153" s="17">
        <v>45988.0</v>
      </c>
      <c r="O153" s="18"/>
      <c r="P153" s="18"/>
      <c r="Q153" s="18"/>
      <c r="R153" s="18"/>
      <c r="S153" s="18"/>
      <c r="T153" s="18"/>
      <c r="U153" s="18"/>
    </row>
    <row r="154">
      <c r="A154" s="14">
        <f t="shared" si="1"/>
        <v>45978</v>
      </c>
      <c r="B154" s="15" t="s">
        <v>170</v>
      </c>
      <c r="C154" s="15" t="s">
        <v>30</v>
      </c>
      <c r="D154" s="15" t="s">
        <v>386</v>
      </c>
      <c r="E154" s="16">
        <v>4.369739081E9</v>
      </c>
      <c r="F154" s="15">
        <v>4.180303895E9</v>
      </c>
      <c r="G154" s="15" t="s">
        <v>43</v>
      </c>
      <c r="H154" s="15" t="s">
        <v>387</v>
      </c>
      <c r="I154" s="15" t="s">
        <v>387</v>
      </c>
      <c r="J154" s="16">
        <v>59000.0</v>
      </c>
      <c r="K154" s="16">
        <v>1.0</v>
      </c>
      <c r="L154" s="17">
        <v>45978.05076388889</v>
      </c>
      <c r="M154" s="17">
        <v>45979.84106481481</v>
      </c>
      <c r="N154" s="17">
        <v>45981.0</v>
      </c>
      <c r="O154" s="18"/>
      <c r="P154" s="18"/>
      <c r="Q154" s="18"/>
      <c r="R154" s="18"/>
      <c r="S154" s="18"/>
      <c r="T154" s="18"/>
      <c r="U154" s="18"/>
    </row>
    <row r="155">
      <c r="A155" s="14">
        <f t="shared" si="1"/>
        <v>45977</v>
      </c>
      <c r="B155" s="15" t="s">
        <v>170</v>
      </c>
      <c r="C155" s="15" t="s">
        <v>30</v>
      </c>
      <c r="D155" s="15" t="s">
        <v>388</v>
      </c>
      <c r="E155" s="16">
        <v>4.369707032E9</v>
      </c>
      <c r="F155" s="15">
        <v>1.714503221E9</v>
      </c>
      <c r="G155" s="15" t="s">
        <v>314</v>
      </c>
      <c r="H155" s="15" t="s">
        <v>389</v>
      </c>
      <c r="I155" s="15" t="s">
        <v>389</v>
      </c>
      <c r="J155" s="16">
        <v>47900.0</v>
      </c>
      <c r="K155" s="16">
        <v>1.0</v>
      </c>
      <c r="L155" s="17">
        <v>45977.95631944444</v>
      </c>
      <c r="M155" s="17">
        <v>45979.52851851852</v>
      </c>
      <c r="N155" s="17">
        <v>45988.0</v>
      </c>
      <c r="O155" s="18"/>
      <c r="P155" s="18"/>
      <c r="Q155" s="18"/>
      <c r="R155" s="18"/>
      <c r="S155" s="18"/>
      <c r="T155" s="18"/>
      <c r="U155" s="18"/>
    </row>
    <row r="156">
      <c r="A156" s="14">
        <f t="shared" si="1"/>
        <v>45977</v>
      </c>
      <c r="B156" s="15" t="s">
        <v>290</v>
      </c>
      <c r="C156" s="15" t="s">
        <v>30</v>
      </c>
      <c r="D156" s="15" t="s">
        <v>390</v>
      </c>
      <c r="E156" s="16">
        <v>4.369657932E9</v>
      </c>
      <c r="F156" s="15">
        <v>4.547685725E9</v>
      </c>
      <c r="G156" s="15" t="s">
        <v>236</v>
      </c>
      <c r="H156" s="15" t="s">
        <v>391</v>
      </c>
      <c r="I156" s="15" t="s">
        <v>392</v>
      </c>
      <c r="J156" s="16">
        <v>119000.0</v>
      </c>
      <c r="K156" s="16">
        <v>1.0</v>
      </c>
      <c r="L156" s="17">
        <v>45977.85679398148</v>
      </c>
      <c r="M156" s="17">
        <v>45979.68137731482</v>
      </c>
      <c r="N156" s="20"/>
      <c r="O156" s="18"/>
      <c r="P156" s="18"/>
      <c r="Q156" s="18"/>
      <c r="R156" s="18"/>
      <c r="S156" s="18"/>
      <c r="T156" s="18"/>
      <c r="U156" s="18"/>
    </row>
    <row r="157">
      <c r="A157" s="14">
        <f t="shared" si="1"/>
        <v>693961</v>
      </c>
      <c r="B157" s="15" t="s">
        <v>47</v>
      </c>
      <c r="C157" s="15" t="s">
        <v>30</v>
      </c>
      <c r="D157" s="15" t="s">
        <v>393</v>
      </c>
      <c r="E157" s="16">
        <v>4.369599857E9</v>
      </c>
      <c r="F157" s="15">
        <v>4.180303895E9</v>
      </c>
      <c r="G157" s="15" t="s">
        <v>43</v>
      </c>
      <c r="H157" s="15" t="s">
        <v>394</v>
      </c>
      <c r="I157" s="15" t="s">
        <v>394</v>
      </c>
      <c r="J157" s="16">
        <v>59000.0</v>
      </c>
      <c r="K157" s="16">
        <v>1.0</v>
      </c>
      <c r="L157" s="20"/>
      <c r="M157" s="20"/>
      <c r="N157" s="20"/>
      <c r="O157" s="18"/>
      <c r="P157" s="18"/>
      <c r="Q157" s="18"/>
      <c r="R157" s="18"/>
      <c r="S157" s="18"/>
      <c r="T157" s="18"/>
      <c r="U157" s="18"/>
    </row>
    <row r="158">
      <c r="A158" s="14">
        <f t="shared" si="1"/>
        <v>693961</v>
      </c>
      <c r="B158" s="15" t="s">
        <v>47</v>
      </c>
      <c r="C158" s="15" t="s">
        <v>30</v>
      </c>
      <c r="D158" s="15" t="s">
        <v>393</v>
      </c>
      <c r="E158" s="16">
        <v>4.369598987E9</v>
      </c>
      <c r="F158" s="15">
        <v>4.180303895E9</v>
      </c>
      <c r="G158" s="15" t="s">
        <v>43</v>
      </c>
      <c r="H158" s="15" t="s">
        <v>394</v>
      </c>
      <c r="I158" s="15" t="s">
        <v>394</v>
      </c>
      <c r="J158" s="16">
        <v>59000.0</v>
      </c>
      <c r="K158" s="16">
        <v>1.0</v>
      </c>
      <c r="L158" s="20"/>
      <c r="M158" s="20"/>
      <c r="N158" s="20"/>
      <c r="O158" s="18"/>
      <c r="P158" s="18"/>
      <c r="Q158" s="18"/>
      <c r="R158" s="18"/>
      <c r="S158" s="18"/>
      <c r="T158" s="18"/>
      <c r="U158" s="18"/>
    </row>
    <row r="159">
      <c r="A159" s="14">
        <f t="shared" si="1"/>
        <v>45977</v>
      </c>
      <c r="B159" s="15" t="s">
        <v>170</v>
      </c>
      <c r="C159" s="15" t="s">
        <v>40</v>
      </c>
      <c r="D159" s="15" t="s">
        <v>395</v>
      </c>
      <c r="E159" s="16">
        <v>2.539941152E9</v>
      </c>
      <c r="F159" s="15" t="s">
        <v>42</v>
      </c>
      <c r="G159" s="15" t="s">
        <v>43</v>
      </c>
      <c r="H159" s="15" t="s">
        <v>396</v>
      </c>
      <c r="I159" s="15" t="s">
        <v>397</v>
      </c>
      <c r="J159" s="16">
        <v>59000.0</v>
      </c>
      <c r="K159" s="16">
        <v>1.0</v>
      </c>
      <c r="L159" s="17">
        <v>45977.48819444444</v>
      </c>
      <c r="M159" s="17">
        <v>45979.49321759259</v>
      </c>
      <c r="N159" s="17">
        <v>45987.10763888889</v>
      </c>
      <c r="O159" s="18"/>
      <c r="P159" s="18"/>
      <c r="Q159" s="18"/>
      <c r="R159" s="18"/>
      <c r="S159" s="18"/>
      <c r="T159" s="18"/>
      <c r="U159" s="18"/>
    </row>
    <row r="160">
      <c r="A160" s="14">
        <f t="shared" si="1"/>
        <v>45977</v>
      </c>
      <c r="B160" s="15" t="s">
        <v>170</v>
      </c>
      <c r="C160" s="15" t="s">
        <v>40</v>
      </c>
      <c r="D160" s="15" t="s">
        <v>398</v>
      </c>
      <c r="E160" s="16">
        <v>2.539939545E9</v>
      </c>
      <c r="F160" s="15" t="s">
        <v>399</v>
      </c>
      <c r="G160" s="15" t="s">
        <v>84</v>
      </c>
      <c r="H160" s="15" t="s">
        <v>400</v>
      </c>
      <c r="I160" s="15" t="s">
        <v>400</v>
      </c>
      <c r="J160" s="16">
        <v>14500.0</v>
      </c>
      <c r="K160" s="16">
        <v>1.0</v>
      </c>
      <c r="L160" s="17">
        <v>45977.472916666666</v>
      </c>
      <c r="M160" s="17">
        <v>45979.561111111114</v>
      </c>
      <c r="N160" s="17">
        <v>45987.10763888889</v>
      </c>
      <c r="O160" s="18"/>
      <c r="P160" s="18"/>
      <c r="Q160" s="18"/>
      <c r="R160" s="18"/>
      <c r="S160" s="18"/>
      <c r="T160" s="18"/>
      <c r="U160" s="18"/>
    </row>
    <row r="161">
      <c r="A161" s="14">
        <f t="shared" si="1"/>
        <v>45977</v>
      </c>
      <c r="B161" s="15" t="s">
        <v>170</v>
      </c>
      <c r="C161" s="15" t="s">
        <v>30</v>
      </c>
      <c r="D161" s="15" t="s">
        <v>401</v>
      </c>
      <c r="E161" s="16">
        <v>4.369526748E9</v>
      </c>
      <c r="F161" s="15">
        <v>4.546798282E9</v>
      </c>
      <c r="G161" s="15" t="s">
        <v>135</v>
      </c>
      <c r="H161" s="15" t="s">
        <v>401</v>
      </c>
      <c r="I161" s="15" t="s">
        <v>402</v>
      </c>
      <c r="J161" s="16">
        <v>109000.0</v>
      </c>
      <c r="K161" s="16">
        <v>1.0</v>
      </c>
      <c r="L161" s="17">
        <v>45977.43115740741</v>
      </c>
      <c r="M161" s="17">
        <v>45980.7299537037</v>
      </c>
      <c r="N161" s="17">
        <v>45989.0</v>
      </c>
      <c r="O161" s="18"/>
      <c r="P161" s="18"/>
      <c r="Q161" s="18"/>
      <c r="R161" s="18"/>
      <c r="S161" s="18"/>
      <c r="T161" s="18"/>
      <c r="U161" s="18"/>
    </row>
    <row r="162">
      <c r="A162" s="14">
        <f t="shared" si="1"/>
        <v>45977</v>
      </c>
      <c r="B162" s="15" t="s">
        <v>170</v>
      </c>
      <c r="C162" s="15" t="s">
        <v>40</v>
      </c>
      <c r="D162" s="15" t="s">
        <v>403</v>
      </c>
      <c r="E162" s="16">
        <v>2.539934135E9</v>
      </c>
      <c r="F162" s="15" t="s">
        <v>226</v>
      </c>
      <c r="G162" s="15" t="s">
        <v>35</v>
      </c>
      <c r="H162" s="15" t="s">
        <v>404</v>
      </c>
      <c r="I162" s="15" t="s">
        <v>404</v>
      </c>
      <c r="J162" s="16">
        <v>65000.0</v>
      </c>
      <c r="K162" s="16">
        <v>1.0</v>
      </c>
      <c r="L162" s="17">
        <v>45977.42152777778</v>
      </c>
      <c r="M162" s="17">
        <v>45979.65277777778</v>
      </c>
      <c r="N162" s="17">
        <v>45983.31805555556</v>
      </c>
      <c r="O162" s="18"/>
      <c r="P162" s="18"/>
      <c r="Q162" s="18"/>
      <c r="R162" s="18"/>
      <c r="S162" s="18"/>
      <c r="T162" s="18"/>
      <c r="U162" s="18"/>
    </row>
    <row r="163">
      <c r="A163" s="14">
        <f t="shared" si="1"/>
        <v>45977</v>
      </c>
      <c r="B163" s="15" t="s">
        <v>50</v>
      </c>
      <c r="C163" s="15" t="s">
        <v>40</v>
      </c>
      <c r="D163" s="15" t="s">
        <v>405</v>
      </c>
      <c r="E163" s="16">
        <v>2.539927676E9</v>
      </c>
      <c r="F163" s="15" t="s">
        <v>42</v>
      </c>
      <c r="G163" s="15" t="s">
        <v>43</v>
      </c>
      <c r="H163" s="15" t="s">
        <v>406</v>
      </c>
      <c r="I163" s="15" t="s">
        <v>407</v>
      </c>
      <c r="J163" s="16">
        <v>59000.0</v>
      </c>
      <c r="K163" s="16">
        <v>1.0</v>
      </c>
      <c r="L163" s="17">
        <v>45977.353472222225</v>
      </c>
      <c r="M163" s="20"/>
      <c r="N163" s="20"/>
      <c r="O163" s="18"/>
      <c r="P163" s="18"/>
      <c r="Q163" s="18"/>
      <c r="R163" s="18"/>
      <c r="S163" s="18"/>
      <c r="T163" s="18"/>
      <c r="U163" s="18"/>
    </row>
    <row r="164">
      <c r="A164" s="14">
        <f t="shared" si="1"/>
        <v>45977</v>
      </c>
      <c r="B164" s="15" t="s">
        <v>170</v>
      </c>
      <c r="C164" s="15" t="s">
        <v>30</v>
      </c>
      <c r="D164" s="15" t="s">
        <v>408</v>
      </c>
      <c r="E164" s="16">
        <v>4.369504391E9</v>
      </c>
      <c r="F164" s="15">
        <v>2.82227251E9</v>
      </c>
      <c r="G164" s="15" t="s">
        <v>61</v>
      </c>
      <c r="H164" s="15" t="s">
        <v>409</v>
      </c>
      <c r="I164" s="15" t="s">
        <v>410</v>
      </c>
      <c r="J164" s="16">
        <v>31500.0</v>
      </c>
      <c r="K164" s="16">
        <v>1.0</v>
      </c>
      <c r="L164" s="17">
        <v>45977.33752314815</v>
      </c>
      <c r="M164" s="17">
        <v>45979.5493287037</v>
      </c>
      <c r="N164" s="17">
        <v>45980.0</v>
      </c>
      <c r="O164" s="18"/>
      <c r="P164" s="18"/>
      <c r="Q164" s="18"/>
      <c r="R164" s="18"/>
      <c r="S164" s="18"/>
      <c r="T164" s="18"/>
      <c r="U164" s="18"/>
    </row>
    <row r="165">
      <c r="A165" s="14">
        <f t="shared" si="1"/>
        <v>45977</v>
      </c>
      <c r="B165" s="15" t="s">
        <v>170</v>
      </c>
      <c r="C165" s="15" t="s">
        <v>30</v>
      </c>
      <c r="D165" s="15" t="s">
        <v>411</v>
      </c>
      <c r="E165" s="16">
        <v>4.369481643E9</v>
      </c>
      <c r="F165" s="15">
        <v>4.180303895E9</v>
      </c>
      <c r="G165" s="15" t="s">
        <v>43</v>
      </c>
      <c r="H165" s="15" t="s">
        <v>412</v>
      </c>
      <c r="I165" s="15" t="s">
        <v>412</v>
      </c>
      <c r="J165" s="16">
        <v>59000.0</v>
      </c>
      <c r="K165" s="16">
        <v>1.0</v>
      </c>
      <c r="L165" s="17">
        <v>45977.0284375</v>
      </c>
      <c r="M165" s="17">
        <v>45980.72318287037</v>
      </c>
      <c r="N165" s="17">
        <v>45989.0</v>
      </c>
      <c r="O165" s="18"/>
      <c r="P165" s="18"/>
      <c r="Q165" s="18"/>
      <c r="R165" s="18"/>
      <c r="S165" s="18"/>
      <c r="T165" s="18"/>
      <c r="U165" s="18"/>
    </row>
    <row r="166">
      <c r="A166" s="14">
        <f t="shared" si="1"/>
        <v>45977</v>
      </c>
      <c r="B166" s="15" t="s">
        <v>170</v>
      </c>
      <c r="C166" s="15" t="s">
        <v>30</v>
      </c>
      <c r="D166" s="15" t="s">
        <v>413</v>
      </c>
      <c r="E166" s="16">
        <v>4.369477993E9</v>
      </c>
      <c r="F166" s="15">
        <v>4.180303895E9</v>
      </c>
      <c r="G166" s="15" t="s">
        <v>43</v>
      </c>
      <c r="H166" s="15" t="s">
        <v>414</v>
      </c>
      <c r="I166" s="15" t="s">
        <v>414</v>
      </c>
      <c r="J166" s="16">
        <v>59000.0</v>
      </c>
      <c r="K166" s="16">
        <v>1.0</v>
      </c>
      <c r="L166" s="17">
        <v>45977.009375</v>
      </c>
      <c r="M166" s="17">
        <v>45980.68158564815</v>
      </c>
      <c r="N166" s="17">
        <v>45989.0</v>
      </c>
      <c r="O166" s="18"/>
      <c r="P166" s="18"/>
      <c r="Q166" s="18"/>
      <c r="R166" s="18"/>
      <c r="S166" s="18"/>
      <c r="T166" s="18"/>
      <c r="U166" s="18"/>
    </row>
    <row r="167">
      <c r="A167" s="14">
        <f t="shared" si="1"/>
        <v>45977</v>
      </c>
      <c r="B167" s="15" t="s">
        <v>170</v>
      </c>
      <c r="C167" s="15" t="s">
        <v>30</v>
      </c>
      <c r="D167" s="15" t="s">
        <v>415</v>
      </c>
      <c r="E167" s="16">
        <v>4.36947656E9</v>
      </c>
      <c r="F167" s="15">
        <v>4.180303895E9</v>
      </c>
      <c r="G167" s="15" t="s">
        <v>43</v>
      </c>
      <c r="H167" s="15" t="s">
        <v>416</v>
      </c>
      <c r="I167" s="15" t="s">
        <v>416</v>
      </c>
      <c r="J167" s="16">
        <v>118000.0</v>
      </c>
      <c r="K167" s="16">
        <v>2.0</v>
      </c>
      <c r="L167" s="17">
        <v>45977.026655092595</v>
      </c>
      <c r="M167" s="17">
        <v>45980.730046296296</v>
      </c>
      <c r="N167" s="17">
        <v>45989.0</v>
      </c>
      <c r="O167" s="18"/>
      <c r="P167" s="18"/>
      <c r="Q167" s="18"/>
      <c r="R167" s="18"/>
      <c r="S167" s="18"/>
      <c r="T167" s="18"/>
      <c r="U167" s="18"/>
    </row>
    <row r="168">
      <c r="A168" s="14">
        <f t="shared" si="1"/>
        <v>45976</v>
      </c>
      <c r="B168" s="15" t="s">
        <v>170</v>
      </c>
      <c r="C168" s="15" t="s">
        <v>30</v>
      </c>
      <c r="D168" s="15" t="s">
        <v>417</v>
      </c>
      <c r="E168" s="16">
        <v>4.369436413E9</v>
      </c>
      <c r="F168" s="15">
        <v>4.180303895E9</v>
      </c>
      <c r="G168" s="15" t="s">
        <v>43</v>
      </c>
      <c r="H168" s="15" t="s">
        <v>418</v>
      </c>
      <c r="I168" s="15" t="s">
        <v>418</v>
      </c>
      <c r="J168" s="16">
        <v>59000.0</v>
      </c>
      <c r="K168" s="16">
        <v>1.0</v>
      </c>
      <c r="L168" s="17">
        <v>45976.8628125</v>
      </c>
      <c r="M168" s="17">
        <v>45980.63271990741</v>
      </c>
      <c r="N168" s="17">
        <v>45982.0</v>
      </c>
      <c r="O168" s="18"/>
      <c r="P168" s="18"/>
      <c r="Q168" s="18"/>
      <c r="R168" s="18"/>
      <c r="S168" s="18"/>
      <c r="T168" s="18"/>
      <c r="U168" s="18"/>
    </row>
    <row r="169">
      <c r="A169" s="14">
        <f t="shared" si="1"/>
        <v>45976</v>
      </c>
      <c r="B169" s="15" t="s">
        <v>170</v>
      </c>
      <c r="C169" s="15" t="s">
        <v>40</v>
      </c>
      <c r="D169" s="15" t="s">
        <v>419</v>
      </c>
      <c r="E169" s="16">
        <v>2.539892608E9</v>
      </c>
      <c r="F169" s="15" t="s">
        <v>42</v>
      </c>
      <c r="G169" s="15" t="s">
        <v>43</v>
      </c>
      <c r="H169" s="15" t="s">
        <v>420</v>
      </c>
      <c r="I169" s="15" t="s">
        <v>421</v>
      </c>
      <c r="J169" s="16">
        <v>59000.0</v>
      </c>
      <c r="K169" s="16">
        <v>1.0</v>
      </c>
      <c r="L169" s="17">
        <v>45976.75486111111</v>
      </c>
      <c r="M169" s="17">
        <v>45980.69960648148</v>
      </c>
      <c r="N169" s="17">
        <v>45988.03194444445</v>
      </c>
      <c r="O169" s="18"/>
      <c r="P169" s="18"/>
      <c r="Q169" s="18"/>
      <c r="R169" s="18"/>
      <c r="S169" s="18"/>
      <c r="T169" s="18"/>
      <c r="U169" s="18"/>
    </row>
    <row r="170">
      <c r="A170" s="14">
        <f t="shared" si="1"/>
        <v>45976</v>
      </c>
      <c r="B170" s="15" t="s">
        <v>170</v>
      </c>
      <c r="C170" s="15" t="s">
        <v>30</v>
      </c>
      <c r="D170" s="15" t="s">
        <v>422</v>
      </c>
      <c r="E170" s="16">
        <v>4.369400796E9</v>
      </c>
      <c r="F170" s="15">
        <v>4.180306338E9</v>
      </c>
      <c r="G170" s="15" t="s">
        <v>35</v>
      </c>
      <c r="H170" s="15" t="s">
        <v>423</v>
      </c>
      <c r="I170" s="15" t="s">
        <v>423</v>
      </c>
      <c r="J170" s="16">
        <v>130000.0</v>
      </c>
      <c r="K170" s="16">
        <v>2.0</v>
      </c>
      <c r="L170" s="17">
        <v>45976.7187037037</v>
      </c>
      <c r="M170" s="17">
        <v>45979.618796296294</v>
      </c>
      <c r="N170" s="17">
        <v>45988.0</v>
      </c>
      <c r="O170" s="18"/>
      <c r="P170" s="18"/>
      <c r="Q170" s="18"/>
      <c r="R170" s="18"/>
      <c r="S170" s="18"/>
      <c r="T170" s="18"/>
      <c r="U170" s="18"/>
    </row>
    <row r="171">
      <c r="A171" s="14">
        <f t="shared" si="1"/>
        <v>45976</v>
      </c>
      <c r="B171" s="15" t="s">
        <v>50</v>
      </c>
      <c r="C171" s="15" t="s">
        <v>40</v>
      </c>
      <c r="D171" s="15" t="s">
        <v>424</v>
      </c>
      <c r="E171" s="16">
        <v>2.539874224E9</v>
      </c>
      <c r="F171" s="15" t="s">
        <v>425</v>
      </c>
      <c r="G171" s="15" t="s">
        <v>264</v>
      </c>
      <c r="H171" s="15" t="s">
        <v>426</v>
      </c>
      <c r="I171" s="15" t="s">
        <v>426</v>
      </c>
      <c r="J171" s="16">
        <v>119000.0</v>
      </c>
      <c r="K171" s="16">
        <v>1.0</v>
      </c>
      <c r="L171" s="17">
        <v>45976.540972222225</v>
      </c>
      <c r="M171" s="20"/>
      <c r="N171" s="20"/>
      <c r="O171" s="18"/>
      <c r="P171" s="18"/>
      <c r="Q171" s="18"/>
      <c r="R171" s="18"/>
      <c r="S171" s="18"/>
      <c r="T171" s="18"/>
      <c r="U171" s="18"/>
    </row>
    <row r="172">
      <c r="A172" s="14">
        <f t="shared" si="1"/>
        <v>45976</v>
      </c>
      <c r="B172" s="15" t="s">
        <v>170</v>
      </c>
      <c r="C172" s="15" t="s">
        <v>40</v>
      </c>
      <c r="D172" s="15" t="s">
        <v>427</v>
      </c>
      <c r="E172" s="16">
        <v>2.539864425E9</v>
      </c>
      <c r="F172" s="15" t="s">
        <v>42</v>
      </c>
      <c r="G172" s="15" t="s">
        <v>43</v>
      </c>
      <c r="H172" s="15" t="s">
        <v>428</v>
      </c>
      <c r="I172" s="15" t="s">
        <v>428</v>
      </c>
      <c r="J172" s="16">
        <v>59000.0</v>
      </c>
      <c r="K172" s="16">
        <v>1.0</v>
      </c>
      <c r="L172" s="17">
        <v>45976.438888888886</v>
      </c>
      <c r="M172" s="17">
        <v>45980.899363425924</v>
      </c>
      <c r="N172" s="17">
        <v>45988.02916666667</v>
      </c>
      <c r="O172" s="18"/>
      <c r="P172" s="18"/>
      <c r="Q172" s="18"/>
      <c r="R172" s="18"/>
      <c r="S172" s="18"/>
      <c r="T172" s="18"/>
      <c r="U172" s="18"/>
    </row>
    <row r="173">
      <c r="A173" s="14">
        <f t="shared" si="1"/>
        <v>45976</v>
      </c>
      <c r="B173" s="15" t="s">
        <v>170</v>
      </c>
      <c r="C173" s="15" t="s">
        <v>30</v>
      </c>
      <c r="D173" s="15" t="s">
        <v>429</v>
      </c>
      <c r="E173" s="16">
        <v>4.369308657E9</v>
      </c>
      <c r="F173" s="15">
        <v>4.180306338E9</v>
      </c>
      <c r="G173" s="15" t="s">
        <v>35</v>
      </c>
      <c r="H173" s="15" t="s">
        <v>323</v>
      </c>
      <c r="I173" s="15" t="s">
        <v>430</v>
      </c>
      <c r="J173" s="16">
        <v>65000.0</v>
      </c>
      <c r="K173" s="16">
        <v>1.0</v>
      </c>
      <c r="L173" s="17">
        <v>45976.364328703705</v>
      </c>
      <c r="M173" s="17">
        <v>45980.584340277775</v>
      </c>
      <c r="N173" s="17">
        <v>45988.0</v>
      </c>
      <c r="O173" s="18"/>
      <c r="P173" s="18"/>
      <c r="Q173" s="18"/>
      <c r="R173" s="18"/>
      <c r="S173" s="18"/>
      <c r="T173" s="18"/>
      <c r="U173" s="18"/>
    </row>
    <row r="174">
      <c r="A174" s="14">
        <f t="shared" si="1"/>
        <v>45976</v>
      </c>
      <c r="B174" s="15" t="s">
        <v>170</v>
      </c>
      <c r="C174" s="15" t="s">
        <v>30</v>
      </c>
      <c r="D174" s="15" t="s">
        <v>431</v>
      </c>
      <c r="E174" s="16">
        <v>4.369285784E9</v>
      </c>
      <c r="F174" s="15">
        <v>1.784307306E9</v>
      </c>
      <c r="G174" s="15" t="s">
        <v>55</v>
      </c>
      <c r="H174" s="15" t="s">
        <v>432</v>
      </c>
      <c r="I174" s="15" t="s">
        <v>432</v>
      </c>
      <c r="J174" s="16">
        <v>47900.0</v>
      </c>
      <c r="K174" s="16">
        <v>1.0</v>
      </c>
      <c r="L174" s="17">
        <v>45976.085231481484</v>
      </c>
      <c r="M174" s="17">
        <v>45979.813263888886</v>
      </c>
      <c r="N174" s="17">
        <v>45988.0</v>
      </c>
      <c r="O174" s="18"/>
      <c r="P174" s="18"/>
      <c r="Q174" s="18"/>
      <c r="R174" s="18"/>
      <c r="S174" s="18"/>
      <c r="T174" s="18"/>
      <c r="U174" s="18"/>
    </row>
    <row r="175">
      <c r="A175" s="14">
        <f t="shared" si="1"/>
        <v>693961</v>
      </c>
      <c r="B175" s="15" t="s">
        <v>47</v>
      </c>
      <c r="C175" s="15" t="s">
        <v>30</v>
      </c>
      <c r="D175" s="15" t="s">
        <v>433</v>
      </c>
      <c r="E175" s="16">
        <v>4.369264476E9</v>
      </c>
      <c r="F175" s="15">
        <v>4.180306338E9</v>
      </c>
      <c r="G175" s="15" t="s">
        <v>35</v>
      </c>
      <c r="H175" s="15" t="s">
        <v>434</v>
      </c>
      <c r="I175" s="15" t="s">
        <v>430</v>
      </c>
      <c r="J175" s="16">
        <v>65000.0</v>
      </c>
      <c r="K175" s="16">
        <v>1.0</v>
      </c>
      <c r="L175" s="20"/>
      <c r="M175" s="20"/>
      <c r="N175" s="20"/>
      <c r="O175" s="18"/>
      <c r="P175" s="18"/>
      <c r="Q175" s="18"/>
      <c r="R175" s="18"/>
      <c r="S175" s="18"/>
      <c r="T175" s="18"/>
      <c r="U175" s="18"/>
    </row>
    <row r="176">
      <c r="A176" s="14">
        <f t="shared" si="1"/>
        <v>45975</v>
      </c>
      <c r="B176" s="15" t="s">
        <v>170</v>
      </c>
      <c r="C176" s="15" t="s">
        <v>30</v>
      </c>
      <c r="D176" s="15" t="s">
        <v>435</v>
      </c>
      <c r="E176" s="16">
        <v>4.369258283E9</v>
      </c>
      <c r="F176" s="15">
        <v>4.544699629E9</v>
      </c>
      <c r="G176" s="15" t="s">
        <v>212</v>
      </c>
      <c r="H176" s="15" t="s">
        <v>436</v>
      </c>
      <c r="I176" s="15" t="s">
        <v>436</v>
      </c>
      <c r="J176" s="16">
        <v>145000.0</v>
      </c>
      <c r="K176" s="16">
        <v>1.0</v>
      </c>
      <c r="L176" s="17">
        <v>45975.936956018515</v>
      </c>
      <c r="M176" s="17">
        <v>45979.69550925926</v>
      </c>
      <c r="N176" s="17">
        <v>45988.0</v>
      </c>
      <c r="O176" s="18"/>
      <c r="P176" s="18"/>
      <c r="Q176" s="18"/>
      <c r="R176" s="18"/>
      <c r="S176" s="18"/>
      <c r="T176" s="18"/>
      <c r="U176" s="18"/>
    </row>
    <row r="177">
      <c r="A177" s="14">
        <f t="shared" si="1"/>
        <v>45975</v>
      </c>
      <c r="B177" s="15" t="s">
        <v>170</v>
      </c>
      <c r="C177" s="15" t="s">
        <v>30</v>
      </c>
      <c r="D177" s="15" t="s">
        <v>437</v>
      </c>
      <c r="E177" s="16">
        <v>4.369253034E9</v>
      </c>
      <c r="F177" s="15">
        <v>4.180303895E9</v>
      </c>
      <c r="G177" s="15" t="s">
        <v>43</v>
      </c>
      <c r="H177" s="15" t="s">
        <v>438</v>
      </c>
      <c r="I177" s="15" t="s">
        <v>439</v>
      </c>
      <c r="J177" s="16">
        <v>59000.0</v>
      </c>
      <c r="K177" s="16">
        <v>1.0</v>
      </c>
      <c r="L177" s="17">
        <v>45975.918969907405</v>
      </c>
      <c r="M177" s="17">
        <v>45980.51474537037</v>
      </c>
      <c r="N177" s="17">
        <v>45989.0</v>
      </c>
      <c r="O177" s="18"/>
      <c r="P177" s="18"/>
      <c r="Q177" s="18"/>
      <c r="R177" s="18"/>
      <c r="S177" s="18"/>
      <c r="T177" s="18"/>
      <c r="U177" s="18"/>
    </row>
    <row r="178">
      <c r="A178" s="14">
        <f t="shared" si="1"/>
        <v>45975</v>
      </c>
      <c r="B178" s="15" t="s">
        <v>170</v>
      </c>
      <c r="C178" s="15" t="s">
        <v>40</v>
      </c>
      <c r="D178" s="15" t="s">
        <v>440</v>
      </c>
      <c r="E178" s="16">
        <v>2.539824788E9</v>
      </c>
      <c r="F178" s="15" t="s">
        <v>42</v>
      </c>
      <c r="G178" s="15" t="s">
        <v>43</v>
      </c>
      <c r="H178" s="15" t="s">
        <v>441</v>
      </c>
      <c r="I178" s="15" t="s">
        <v>441</v>
      </c>
      <c r="J178" s="16">
        <v>59000.0</v>
      </c>
      <c r="K178" s="16">
        <v>1.0</v>
      </c>
      <c r="L178" s="17">
        <v>45975.81041666667</v>
      </c>
      <c r="M178" s="17">
        <v>45980.801574074074</v>
      </c>
      <c r="N178" s="17">
        <v>45988.02638888889</v>
      </c>
      <c r="O178" s="18"/>
      <c r="P178" s="18"/>
      <c r="Q178" s="18"/>
      <c r="R178" s="18"/>
      <c r="S178" s="18"/>
      <c r="T178" s="18"/>
      <c r="U178" s="18"/>
    </row>
    <row r="179">
      <c r="A179" s="14">
        <f t="shared" si="1"/>
        <v>45975</v>
      </c>
      <c r="B179" s="15" t="s">
        <v>170</v>
      </c>
      <c r="C179" s="15" t="s">
        <v>40</v>
      </c>
      <c r="D179" s="15" t="s">
        <v>442</v>
      </c>
      <c r="E179" s="16">
        <v>2.539819377E9</v>
      </c>
      <c r="F179" s="15" t="s">
        <v>443</v>
      </c>
      <c r="G179" s="15" t="s">
        <v>236</v>
      </c>
      <c r="H179" s="15" t="s">
        <v>444</v>
      </c>
      <c r="I179" s="15" t="s">
        <v>445</v>
      </c>
      <c r="J179" s="16">
        <v>119000.0</v>
      </c>
      <c r="K179" s="16">
        <v>1.0</v>
      </c>
      <c r="L179" s="17">
        <v>45975.751388888886</v>
      </c>
      <c r="M179" s="17">
        <v>45979.50833333333</v>
      </c>
      <c r="N179" s="17">
        <v>45987.06319444445</v>
      </c>
      <c r="O179" s="18"/>
      <c r="P179" s="18"/>
      <c r="Q179" s="18"/>
      <c r="R179" s="18"/>
      <c r="S179" s="18"/>
      <c r="T179" s="18"/>
      <c r="U179" s="18"/>
    </row>
    <row r="180">
      <c r="A180" s="14">
        <f t="shared" si="1"/>
        <v>45975</v>
      </c>
      <c r="B180" s="15" t="s">
        <v>170</v>
      </c>
      <c r="C180" s="15" t="s">
        <v>30</v>
      </c>
      <c r="D180" s="15" t="s">
        <v>446</v>
      </c>
      <c r="E180" s="16">
        <v>4.369096129E9</v>
      </c>
      <c r="F180" s="15">
        <v>4.180303895E9</v>
      </c>
      <c r="G180" s="15" t="s">
        <v>43</v>
      </c>
      <c r="H180" s="15" t="s">
        <v>447</v>
      </c>
      <c r="I180" s="15" t="s">
        <v>447</v>
      </c>
      <c r="J180" s="16">
        <v>59000.0</v>
      </c>
      <c r="K180" s="16">
        <v>1.0</v>
      </c>
      <c r="L180" s="17">
        <v>45975.480405092596</v>
      </c>
      <c r="M180" s="17">
        <v>45976.57016203704</v>
      </c>
      <c r="N180" s="17">
        <v>45985.0</v>
      </c>
      <c r="O180" s="18"/>
      <c r="P180" s="18"/>
      <c r="Q180" s="18"/>
      <c r="R180" s="18"/>
      <c r="S180" s="18"/>
      <c r="T180" s="18"/>
      <c r="U180" s="18"/>
    </row>
    <row r="181">
      <c r="A181" s="14">
        <f t="shared" si="1"/>
        <v>45975</v>
      </c>
      <c r="B181" s="15" t="s">
        <v>170</v>
      </c>
      <c r="C181" s="15" t="s">
        <v>30</v>
      </c>
      <c r="D181" s="15" t="s">
        <v>448</v>
      </c>
      <c r="E181" s="16">
        <v>4.369092316E9</v>
      </c>
      <c r="F181" s="15">
        <v>2.774671191E9</v>
      </c>
      <c r="G181" s="15" t="s">
        <v>131</v>
      </c>
      <c r="H181" s="15" t="s">
        <v>449</v>
      </c>
      <c r="I181" s="15" t="s">
        <v>450</v>
      </c>
      <c r="J181" s="16">
        <v>72000.0</v>
      </c>
      <c r="K181" s="16">
        <v>1.0</v>
      </c>
      <c r="L181" s="17">
        <v>45975.47357638889</v>
      </c>
      <c r="M181" s="17">
        <v>45978.424259259256</v>
      </c>
      <c r="N181" s="17">
        <v>45987.0</v>
      </c>
      <c r="O181" s="18"/>
      <c r="P181" s="18"/>
      <c r="Q181" s="18"/>
      <c r="R181" s="18"/>
      <c r="S181" s="18"/>
      <c r="T181" s="18"/>
      <c r="U181" s="18"/>
    </row>
    <row r="182">
      <c r="A182" s="14">
        <f t="shared" si="1"/>
        <v>45975</v>
      </c>
      <c r="B182" s="15" t="s">
        <v>170</v>
      </c>
      <c r="C182" s="15" t="s">
        <v>30</v>
      </c>
      <c r="D182" s="15" t="s">
        <v>451</v>
      </c>
      <c r="E182" s="16">
        <v>4.369091676E9</v>
      </c>
      <c r="F182" s="15">
        <v>4.113888539E9</v>
      </c>
      <c r="G182" s="15" t="s">
        <v>84</v>
      </c>
      <c r="H182" s="15" t="s">
        <v>452</v>
      </c>
      <c r="I182" s="15" t="s">
        <v>452</v>
      </c>
      <c r="J182" s="16">
        <v>14500.0</v>
      </c>
      <c r="K182" s="16">
        <v>1.0</v>
      </c>
      <c r="L182" s="17">
        <v>45975.472407407404</v>
      </c>
      <c r="M182" s="17">
        <v>45976.58075231482</v>
      </c>
      <c r="N182" s="17">
        <v>45985.0</v>
      </c>
      <c r="O182" s="18"/>
      <c r="P182" s="18"/>
      <c r="Q182" s="18"/>
      <c r="R182" s="18"/>
      <c r="S182" s="18"/>
      <c r="T182" s="18"/>
      <c r="U182" s="18"/>
    </row>
    <row r="183">
      <c r="A183" s="14">
        <f t="shared" si="1"/>
        <v>45975</v>
      </c>
      <c r="B183" s="15" t="s">
        <v>47</v>
      </c>
      <c r="C183" s="15" t="s">
        <v>30</v>
      </c>
      <c r="D183" s="15" t="s">
        <v>453</v>
      </c>
      <c r="E183" s="16">
        <v>4.36909006E9</v>
      </c>
      <c r="F183" s="15">
        <v>4.180303895E9</v>
      </c>
      <c r="G183" s="15" t="s">
        <v>43</v>
      </c>
      <c r="H183" s="15" t="s">
        <v>454</v>
      </c>
      <c r="I183" s="15" t="s">
        <v>454</v>
      </c>
      <c r="J183" s="16">
        <v>59000.0</v>
      </c>
      <c r="K183" s="16">
        <v>1.0</v>
      </c>
      <c r="L183" s="17">
        <v>45975.46962962963</v>
      </c>
      <c r="M183" s="20"/>
      <c r="N183" s="20"/>
      <c r="O183" s="18"/>
      <c r="P183" s="18"/>
      <c r="Q183" s="18"/>
      <c r="R183" s="18"/>
      <c r="S183" s="18"/>
      <c r="T183" s="18"/>
      <c r="U183" s="18"/>
    </row>
    <row r="184">
      <c r="A184" s="14">
        <f t="shared" si="1"/>
        <v>45975</v>
      </c>
      <c r="B184" s="15" t="s">
        <v>170</v>
      </c>
      <c r="C184" s="15" t="s">
        <v>40</v>
      </c>
      <c r="D184" s="15" t="s">
        <v>455</v>
      </c>
      <c r="E184" s="16">
        <v>2.539776327E9</v>
      </c>
      <c r="F184" s="15" t="s">
        <v>42</v>
      </c>
      <c r="G184" s="15" t="s">
        <v>43</v>
      </c>
      <c r="H184" s="15" t="s">
        <v>456</v>
      </c>
      <c r="I184" s="15" t="s">
        <v>456</v>
      </c>
      <c r="J184" s="16">
        <v>59000.0</v>
      </c>
      <c r="K184" s="16">
        <v>1.0</v>
      </c>
      <c r="L184" s="17">
        <v>45975.42986111111</v>
      </c>
      <c r="M184" s="17">
        <v>45976.59064814815</v>
      </c>
      <c r="N184" s="17">
        <v>45984.07916666667</v>
      </c>
      <c r="O184" s="18"/>
      <c r="P184" s="18"/>
      <c r="Q184" s="18"/>
      <c r="R184" s="18"/>
      <c r="S184" s="18"/>
      <c r="T184" s="18"/>
      <c r="U184" s="18"/>
    </row>
    <row r="185">
      <c r="A185" s="14">
        <f t="shared" si="1"/>
        <v>45974</v>
      </c>
      <c r="B185" s="15" t="s">
        <v>170</v>
      </c>
      <c r="C185" s="15" t="s">
        <v>30</v>
      </c>
      <c r="D185" s="15" t="s">
        <v>457</v>
      </c>
      <c r="E185" s="16">
        <v>4.368932284E9</v>
      </c>
      <c r="F185" s="15">
        <v>4.113888539E9</v>
      </c>
      <c r="G185" s="15" t="s">
        <v>84</v>
      </c>
      <c r="H185" s="15" t="s">
        <v>458</v>
      </c>
      <c r="I185" s="15" t="s">
        <v>458</v>
      </c>
      <c r="J185" s="16">
        <v>14500.0</v>
      </c>
      <c r="K185" s="16">
        <v>1.0</v>
      </c>
      <c r="L185" s="17">
        <v>45974.90480324074</v>
      </c>
      <c r="M185" s="17">
        <v>45976.54225694444</v>
      </c>
      <c r="N185" s="17">
        <v>45985.0</v>
      </c>
      <c r="O185" s="18"/>
      <c r="P185" s="18"/>
      <c r="Q185" s="18"/>
      <c r="R185" s="18"/>
      <c r="S185" s="18"/>
      <c r="T185" s="18"/>
      <c r="U185" s="18"/>
    </row>
    <row r="186">
      <c r="A186" s="14">
        <f t="shared" si="1"/>
        <v>45974</v>
      </c>
      <c r="B186" s="15" t="s">
        <v>170</v>
      </c>
      <c r="C186" s="15" t="s">
        <v>40</v>
      </c>
      <c r="D186" s="15" t="s">
        <v>459</v>
      </c>
      <c r="E186" s="16">
        <v>2.539729863E9</v>
      </c>
      <c r="F186" s="15" t="s">
        <v>425</v>
      </c>
      <c r="G186" s="15" t="s">
        <v>264</v>
      </c>
      <c r="H186" s="15" t="s">
        <v>460</v>
      </c>
      <c r="I186" s="15" t="s">
        <v>461</v>
      </c>
      <c r="J186" s="16">
        <v>119000.0</v>
      </c>
      <c r="K186" s="16">
        <v>1.0</v>
      </c>
      <c r="L186" s="17">
        <v>45974.868055555555</v>
      </c>
      <c r="M186" s="17">
        <v>45976.55768518519</v>
      </c>
      <c r="N186" s="17">
        <v>45984.05625</v>
      </c>
      <c r="O186" s="18"/>
      <c r="P186" s="18"/>
      <c r="Q186" s="18"/>
      <c r="R186" s="18"/>
      <c r="S186" s="18"/>
      <c r="T186" s="18"/>
      <c r="U186" s="18"/>
    </row>
    <row r="187">
      <c r="A187" s="14">
        <f t="shared" si="1"/>
        <v>45974</v>
      </c>
      <c r="B187" s="15" t="s">
        <v>170</v>
      </c>
      <c r="C187" s="15" t="s">
        <v>30</v>
      </c>
      <c r="D187" s="15" t="s">
        <v>462</v>
      </c>
      <c r="E187" s="16">
        <v>4.368902432E9</v>
      </c>
      <c r="F187" s="15">
        <v>4.180303895E9</v>
      </c>
      <c r="G187" s="15" t="s">
        <v>43</v>
      </c>
      <c r="H187" s="15" t="s">
        <v>463</v>
      </c>
      <c r="I187" s="15" t="s">
        <v>463</v>
      </c>
      <c r="J187" s="16">
        <v>59000.0</v>
      </c>
      <c r="K187" s="16">
        <v>1.0</v>
      </c>
      <c r="L187" s="17">
        <v>45974.83541666667</v>
      </c>
      <c r="M187" s="17">
        <v>45976.5353125</v>
      </c>
      <c r="N187" s="17">
        <v>45985.0</v>
      </c>
      <c r="O187" s="18"/>
      <c r="P187" s="18"/>
      <c r="Q187" s="18"/>
      <c r="R187" s="18"/>
      <c r="S187" s="18"/>
      <c r="T187" s="18"/>
      <c r="U187" s="18"/>
    </row>
    <row r="188">
      <c r="A188" s="14">
        <f t="shared" si="1"/>
        <v>693961</v>
      </c>
      <c r="B188" s="15" t="s">
        <v>47</v>
      </c>
      <c r="C188" s="15" t="s">
        <v>30</v>
      </c>
      <c r="D188" s="15" t="s">
        <v>462</v>
      </c>
      <c r="E188" s="16">
        <v>4.368902012E9</v>
      </c>
      <c r="F188" s="15">
        <v>4.180303895E9</v>
      </c>
      <c r="G188" s="15" t="s">
        <v>43</v>
      </c>
      <c r="H188" s="15" t="s">
        <v>463</v>
      </c>
      <c r="I188" s="15" t="s">
        <v>463</v>
      </c>
      <c r="J188" s="16">
        <v>59000.0</v>
      </c>
      <c r="K188" s="16">
        <v>1.0</v>
      </c>
      <c r="L188" s="20"/>
      <c r="M188" s="20"/>
      <c r="N188" s="20"/>
      <c r="O188" s="18"/>
      <c r="P188" s="18"/>
      <c r="Q188" s="18"/>
      <c r="R188" s="18"/>
      <c r="S188" s="18"/>
      <c r="T188" s="18"/>
      <c r="U188" s="18"/>
    </row>
    <row r="189">
      <c r="A189" s="14">
        <f t="shared" si="1"/>
        <v>45974</v>
      </c>
      <c r="B189" s="15" t="s">
        <v>170</v>
      </c>
      <c r="C189" s="15" t="s">
        <v>30</v>
      </c>
      <c r="D189" s="15" t="s">
        <v>464</v>
      </c>
      <c r="E189" s="16">
        <v>4.36884435E9</v>
      </c>
      <c r="F189" s="15">
        <v>4.180303895E9</v>
      </c>
      <c r="G189" s="15" t="s">
        <v>43</v>
      </c>
      <c r="H189" s="15" t="s">
        <v>465</v>
      </c>
      <c r="I189" s="15" t="s">
        <v>466</v>
      </c>
      <c r="J189" s="16">
        <v>59000.0</v>
      </c>
      <c r="K189" s="16">
        <v>1.0</v>
      </c>
      <c r="L189" s="17">
        <v>45974.6712962963</v>
      </c>
      <c r="M189" s="17">
        <v>45976.70197916667</v>
      </c>
      <c r="N189" s="17">
        <v>45985.0</v>
      </c>
      <c r="O189" s="18"/>
      <c r="P189" s="18"/>
      <c r="Q189" s="18"/>
      <c r="R189" s="18"/>
      <c r="S189" s="18"/>
      <c r="T189" s="18"/>
      <c r="U189" s="18"/>
    </row>
    <row r="190">
      <c r="A190" s="14">
        <f t="shared" si="1"/>
        <v>45974</v>
      </c>
      <c r="B190" s="15" t="s">
        <v>170</v>
      </c>
      <c r="C190" s="15" t="s">
        <v>40</v>
      </c>
      <c r="D190" s="15" t="s">
        <v>467</v>
      </c>
      <c r="E190" s="16">
        <v>2.539703241E9</v>
      </c>
      <c r="F190" s="15" t="s">
        <v>468</v>
      </c>
      <c r="G190" s="15" t="s">
        <v>469</v>
      </c>
      <c r="H190" s="15" t="s">
        <v>470</v>
      </c>
      <c r="I190" s="15" t="s">
        <v>470</v>
      </c>
      <c r="J190" s="16">
        <v>975000.0</v>
      </c>
      <c r="K190" s="16">
        <v>15.0</v>
      </c>
      <c r="L190" s="17">
        <v>45974.657638888886</v>
      </c>
      <c r="M190" s="17">
        <v>45976.7337962963</v>
      </c>
      <c r="N190" s="17">
        <v>45980.5875</v>
      </c>
      <c r="O190" s="18"/>
      <c r="P190" s="18"/>
      <c r="Q190" s="18"/>
      <c r="R190" s="18"/>
      <c r="S190" s="18"/>
      <c r="T190" s="18"/>
      <c r="U190" s="18"/>
    </row>
    <row r="191">
      <c r="A191" s="14">
        <f t="shared" si="1"/>
        <v>45974</v>
      </c>
      <c r="B191" s="15" t="s">
        <v>170</v>
      </c>
      <c r="C191" s="15" t="s">
        <v>40</v>
      </c>
      <c r="D191" s="15" t="s">
        <v>471</v>
      </c>
      <c r="E191" s="16">
        <v>2.53968983E9</v>
      </c>
      <c r="F191" s="15" t="s">
        <v>226</v>
      </c>
      <c r="G191" s="15" t="s">
        <v>35</v>
      </c>
      <c r="H191" s="15" t="s">
        <v>472</v>
      </c>
      <c r="I191" s="15" t="s">
        <v>472</v>
      </c>
      <c r="J191" s="16">
        <v>65000.0</v>
      </c>
      <c r="K191" s="16">
        <v>1.0</v>
      </c>
      <c r="L191" s="17">
        <v>45974.572222222225</v>
      </c>
      <c r="M191" s="17">
        <v>45976.65844907407</v>
      </c>
      <c r="N191" s="17">
        <v>45984.03888888889</v>
      </c>
      <c r="O191" s="18"/>
      <c r="P191" s="18"/>
      <c r="Q191" s="18"/>
      <c r="R191" s="18"/>
      <c r="S191" s="18"/>
      <c r="T191" s="18"/>
      <c r="U191" s="18"/>
    </row>
    <row r="192">
      <c r="A192" s="14">
        <f t="shared" si="1"/>
        <v>45974</v>
      </c>
      <c r="B192" s="15" t="s">
        <v>170</v>
      </c>
      <c r="C192" s="15" t="s">
        <v>30</v>
      </c>
      <c r="D192" s="15" t="s">
        <v>473</v>
      </c>
      <c r="E192" s="16">
        <v>4.368755302E9</v>
      </c>
      <c r="F192" s="15">
        <v>4.180303895E9</v>
      </c>
      <c r="G192" s="15" t="s">
        <v>43</v>
      </c>
      <c r="H192" s="15" t="s">
        <v>474</v>
      </c>
      <c r="I192" s="15" t="s">
        <v>474</v>
      </c>
      <c r="J192" s="16">
        <v>59000.0</v>
      </c>
      <c r="K192" s="16">
        <v>1.0</v>
      </c>
      <c r="L192" s="17">
        <v>45974.490219907406</v>
      </c>
      <c r="M192" s="17">
        <v>45976.549166666664</v>
      </c>
      <c r="N192" s="17">
        <v>45985.0</v>
      </c>
      <c r="O192" s="18"/>
      <c r="P192" s="18"/>
      <c r="Q192" s="18"/>
      <c r="R192" s="18"/>
      <c r="S192" s="18"/>
      <c r="T192" s="18"/>
      <c r="U192" s="18"/>
    </row>
    <row r="193">
      <c r="A193" s="14">
        <f t="shared" si="1"/>
        <v>45974</v>
      </c>
      <c r="B193" s="15" t="s">
        <v>170</v>
      </c>
      <c r="C193" s="15" t="s">
        <v>30</v>
      </c>
      <c r="D193" s="15" t="s">
        <v>475</v>
      </c>
      <c r="E193" s="16">
        <v>4.368738032E9</v>
      </c>
      <c r="F193" s="15">
        <v>4.180303895E9</v>
      </c>
      <c r="G193" s="15" t="s">
        <v>43</v>
      </c>
      <c r="H193" s="15" t="s">
        <v>476</v>
      </c>
      <c r="I193" s="15" t="s">
        <v>476</v>
      </c>
      <c r="J193" s="16">
        <v>59000.0</v>
      </c>
      <c r="K193" s="16">
        <v>1.0</v>
      </c>
      <c r="L193" s="17">
        <v>45974.46221064815</v>
      </c>
      <c r="M193" s="17">
        <v>45976.584016203706</v>
      </c>
      <c r="N193" s="17">
        <v>45985.0</v>
      </c>
      <c r="O193" s="18"/>
      <c r="P193" s="18"/>
      <c r="Q193" s="18"/>
      <c r="R193" s="18"/>
      <c r="S193" s="18"/>
      <c r="T193" s="18"/>
      <c r="U193" s="18"/>
    </row>
    <row r="194">
      <c r="A194" s="14">
        <f t="shared" si="1"/>
        <v>45974</v>
      </c>
      <c r="B194" s="15" t="s">
        <v>170</v>
      </c>
      <c r="C194" s="15" t="s">
        <v>40</v>
      </c>
      <c r="D194" s="15" t="s">
        <v>440</v>
      </c>
      <c r="E194" s="16">
        <v>2.539638423E9</v>
      </c>
      <c r="F194" s="15" t="s">
        <v>226</v>
      </c>
      <c r="G194" s="15" t="s">
        <v>35</v>
      </c>
      <c r="H194" s="15" t="s">
        <v>441</v>
      </c>
      <c r="I194" s="15" t="s">
        <v>441</v>
      </c>
      <c r="J194" s="16">
        <v>65000.0</v>
      </c>
      <c r="K194" s="16">
        <v>1.0</v>
      </c>
      <c r="L194" s="17">
        <v>45974.06527777778</v>
      </c>
      <c r="M194" s="17">
        <v>45975.7133912037</v>
      </c>
      <c r="N194" s="17">
        <v>45983.07708333333</v>
      </c>
      <c r="O194" s="18"/>
      <c r="P194" s="18"/>
      <c r="Q194" s="18"/>
      <c r="R194" s="18"/>
      <c r="S194" s="18"/>
      <c r="T194" s="18"/>
      <c r="U194" s="18"/>
    </row>
    <row r="195">
      <c r="A195" s="14">
        <f t="shared" si="1"/>
        <v>45973</v>
      </c>
      <c r="B195" s="15" t="s">
        <v>170</v>
      </c>
      <c r="C195" s="15" t="s">
        <v>30</v>
      </c>
      <c r="D195" s="15" t="s">
        <v>477</v>
      </c>
      <c r="E195" s="16">
        <v>4.368630317E9</v>
      </c>
      <c r="F195" s="15">
        <v>4.180303895E9</v>
      </c>
      <c r="G195" s="15" t="s">
        <v>43</v>
      </c>
      <c r="H195" s="15" t="s">
        <v>478</v>
      </c>
      <c r="I195" s="15" t="s">
        <v>478</v>
      </c>
      <c r="J195" s="16">
        <v>59000.0</v>
      </c>
      <c r="K195" s="16">
        <v>1.0</v>
      </c>
      <c r="L195" s="17">
        <v>45973.99670138889</v>
      </c>
      <c r="M195" s="17">
        <v>45975.59105324074</v>
      </c>
      <c r="N195" s="17">
        <v>45985.0</v>
      </c>
      <c r="O195" s="18"/>
      <c r="P195" s="18"/>
      <c r="Q195" s="18"/>
      <c r="R195" s="18"/>
      <c r="S195" s="18"/>
      <c r="T195" s="18"/>
      <c r="U195" s="18"/>
    </row>
    <row r="196">
      <c r="A196" s="14">
        <f t="shared" si="1"/>
        <v>45973</v>
      </c>
      <c r="B196" s="15" t="s">
        <v>170</v>
      </c>
      <c r="C196" s="15" t="s">
        <v>30</v>
      </c>
      <c r="D196" s="15" t="s">
        <v>479</v>
      </c>
      <c r="E196" s="16">
        <v>4.368616316E9</v>
      </c>
      <c r="F196" s="15">
        <v>3.51024234E9</v>
      </c>
      <c r="G196" s="15" t="s">
        <v>96</v>
      </c>
      <c r="H196" s="15" t="s">
        <v>480</v>
      </c>
      <c r="I196" s="15" t="s">
        <v>480</v>
      </c>
      <c r="J196" s="16">
        <v>19900.0</v>
      </c>
      <c r="K196" s="16">
        <v>1.0</v>
      </c>
      <c r="L196" s="17">
        <v>45973.95563657407</v>
      </c>
      <c r="M196" s="17">
        <v>45975.56303240741</v>
      </c>
      <c r="N196" s="17">
        <v>45985.0</v>
      </c>
      <c r="O196" s="18"/>
      <c r="P196" s="18"/>
      <c r="Q196" s="18"/>
      <c r="R196" s="18"/>
      <c r="S196" s="18"/>
      <c r="T196" s="18"/>
      <c r="U196" s="18"/>
    </row>
    <row r="197">
      <c r="A197" s="14">
        <f t="shared" si="1"/>
        <v>45973</v>
      </c>
      <c r="B197" s="15" t="s">
        <v>170</v>
      </c>
      <c r="C197" s="15" t="s">
        <v>30</v>
      </c>
      <c r="D197" s="15" t="s">
        <v>481</v>
      </c>
      <c r="E197" s="16">
        <v>4.368601236E9</v>
      </c>
      <c r="F197" s="15">
        <v>4.180303895E9</v>
      </c>
      <c r="G197" s="15" t="s">
        <v>43</v>
      </c>
      <c r="H197" s="15" t="s">
        <v>482</v>
      </c>
      <c r="I197" s="15" t="s">
        <v>482</v>
      </c>
      <c r="J197" s="16">
        <v>59000.0</v>
      </c>
      <c r="K197" s="16">
        <v>1.0</v>
      </c>
      <c r="L197" s="17">
        <v>45973.918333333335</v>
      </c>
      <c r="M197" s="17">
        <v>45975.59105324074</v>
      </c>
      <c r="N197" s="17">
        <v>45985.0</v>
      </c>
      <c r="O197" s="18"/>
      <c r="P197" s="18"/>
      <c r="Q197" s="18"/>
      <c r="R197" s="18"/>
      <c r="S197" s="18"/>
      <c r="T197" s="18"/>
      <c r="U197" s="18"/>
    </row>
    <row r="198">
      <c r="A198" s="14">
        <f t="shared" si="1"/>
        <v>45973</v>
      </c>
      <c r="B198" s="15" t="s">
        <v>170</v>
      </c>
      <c r="C198" s="15" t="s">
        <v>40</v>
      </c>
      <c r="D198" s="15" t="s">
        <v>483</v>
      </c>
      <c r="E198" s="16">
        <v>2.539623738E9</v>
      </c>
      <c r="F198" s="15" t="s">
        <v>42</v>
      </c>
      <c r="G198" s="15" t="s">
        <v>43</v>
      </c>
      <c r="H198" s="15" t="s">
        <v>484</v>
      </c>
      <c r="I198" s="15" t="s">
        <v>484</v>
      </c>
      <c r="J198" s="16">
        <v>59000.0</v>
      </c>
      <c r="K198" s="16">
        <v>1.0</v>
      </c>
      <c r="L198" s="17">
        <v>45973.9125</v>
      </c>
      <c r="M198" s="17">
        <v>45975.61619212963</v>
      </c>
      <c r="N198" s="17">
        <v>45980.83263888889</v>
      </c>
      <c r="O198" s="18"/>
      <c r="P198" s="18"/>
      <c r="Q198" s="18"/>
      <c r="R198" s="18"/>
      <c r="S198" s="18"/>
      <c r="T198" s="18"/>
      <c r="U198" s="18"/>
    </row>
    <row r="199">
      <c r="A199" s="14">
        <f t="shared" si="1"/>
        <v>45973</v>
      </c>
      <c r="B199" s="15" t="s">
        <v>170</v>
      </c>
      <c r="C199" s="15" t="s">
        <v>40</v>
      </c>
      <c r="D199" s="15" t="s">
        <v>485</v>
      </c>
      <c r="E199" s="16">
        <v>2.539611483E9</v>
      </c>
      <c r="F199" s="15" t="s">
        <v>42</v>
      </c>
      <c r="G199" s="15" t="s">
        <v>43</v>
      </c>
      <c r="H199" s="15" t="s">
        <v>486</v>
      </c>
      <c r="I199" s="15" t="s">
        <v>486</v>
      </c>
      <c r="J199" s="16">
        <v>59000.0</v>
      </c>
      <c r="K199" s="16">
        <v>1.0</v>
      </c>
      <c r="L199" s="17">
        <v>45973.82777777778</v>
      </c>
      <c r="M199" s="17">
        <v>45975.65819444445</v>
      </c>
      <c r="N199" s="17">
        <v>45979.81875</v>
      </c>
      <c r="O199" s="18"/>
      <c r="P199" s="18"/>
      <c r="Q199" s="18"/>
      <c r="R199" s="18"/>
      <c r="S199" s="18"/>
      <c r="T199" s="18"/>
      <c r="U199" s="18"/>
    </row>
    <row r="200">
      <c r="A200" s="14">
        <f t="shared" si="1"/>
        <v>45974</v>
      </c>
      <c r="B200" s="15" t="s">
        <v>170</v>
      </c>
      <c r="C200" s="15" t="s">
        <v>30</v>
      </c>
      <c r="D200" s="15" t="s">
        <v>487</v>
      </c>
      <c r="E200" s="16">
        <v>4.368541668E9</v>
      </c>
      <c r="F200" s="15">
        <v>4.180303895E9</v>
      </c>
      <c r="G200" s="15" t="s">
        <v>43</v>
      </c>
      <c r="H200" s="15" t="s">
        <v>488</v>
      </c>
      <c r="I200" s="15" t="s">
        <v>488</v>
      </c>
      <c r="J200" s="16">
        <v>118000.0</v>
      </c>
      <c r="K200" s="16">
        <v>2.0</v>
      </c>
      <c r="L200" s="17">
        <v>45974.28219907408</v>
      </c>
      <c r="M200" s="17">
        <v>45975.66740740741</v>
      </c>
      <c r="N200" s="17">
        <v>45985.0</v>
      </c>
      <c r="O200" s="18"/>
      <c r="P200" s="18"/>
      <c r="Q200" s="18"/>
      <c r="R200" s="18"/>
      <c r="S200" s="18"/>
      <c r="T200" s="18"/>
      <c r="U200" s="18"/>
    </row>
    <row r="201">
      <c r="A201" s="14">
        <f t="shared" si="1"/>
        <v>45973</v>
      </c>
      <c r="B201" s="15" t="s">
        <v>170</v>
      </c>
      <c r="C201" s="15" t="s">
        <v>30</v>
      </c>
      <c r="D201" s="15" t="s">
        <v>489</v>
      </c>
      <c r="E201" s="16">
        <v>4.368451957E9</v>
      </c>
      <c r="F201" s="15">
        <v>4.180303895E9</v>
      </c>
      <c r="G201" s="15" t="s">
        <v>43</v>
      </c>
      <c r="H201" s="15" t="s">
        <v>254</v>
      </c>
      <c r="I201" s="15" t="s">
        <v>490</v>
      </c>
      <c r="J201" s="16">
        <v>59000.0</v>
      </c>
      <c r="K201" s="16">
        <v>1.0</v>
      </c>
      <c r="L201" s="17">
        <v>45973.561631944445</v>
      </c>
      <c r="M201" s="17">
        <v>45974.43101851852</v>
      </c>
      <c r="N201" s="17">
        <v>45985.0</v>
      </c>
      <c r="O201" s="18"/>
      <c r="P201" s="18"/>
      <c r="Q201" s="18"/>
      <c r="R201" s="18"/>
      <c r="S201" s="18"/>
      <c r="T201" s="18"/>
      <c r="U201" s="18"/>
    </row>
    <row r="202">
      <c r="A202" s="14">
        <f t="shared" si="1"/>
        <v>45973</v>
      </c>
      <c r="B202" s="15" t="s">
        <v>170</v>
      </c>
      <c r="C202" s="15" t="s">
        <v>30</v>
      </c>
      <c r="D202" s="15" t="s">
        <v>491</v>
      </c>
      <c r="E202" s="16">
        <v>4.368407234E9</v>
      </c>
      <c r="F202" s="15">
        <v>2.774671191E9</v>
      </c>
      <c r="G202" s="15" t="s">
        <v>131</v>
      </c>
      <c r="H202" s="15" t="s">
        <v>492</v>
      </c>
      <c r="I202" s="15" t="s">
        <v>493</v>
      </c>
      <c r="J202" s="16">
        <v>72000.0</v>
      </c>
      <c r="K202" s="16">
        <v>1.0</v>
      </c>
      <c r="L202" s="17">
        <v>45973.474027777775</v>
      </c>
      <c r="M202" s="17">
        <v>45974.562951388885</v>
      </c>
      <c r="N202" s="17">
        <v>45985.0</v>
      </c>
      <c r="O202" s="18"/>
      <c r="P202" s="18"/>
      <c r="Q202" s="18"/>
      <c r="R202" s="18"/>
      <c r="S202" s="18"/>
      <c r="T202" s="18"/>
      <c r="U202" s="18"/>
    </row>
    <row r="203">
      <c r="A203" s="14">
        <f t="shared" si="1"/>
        <v>45973</v>
      </c>
      <c r="B203" s="15" t="s">
        <v>170</v>
      </c>
      <c r="C203" s="15" t="s">
        <v>40</v>
      </c>
      <c r="D203" s="15" t="s">
        <v>494</v>
      </c>
      <c r="E203" s="16">
        <v>2.539562711E9</v>
      </c>
      <c r="F203" s="15" t="s">
        <v>425</v>
      </c>
      <c r="G203" s="15" t="s">
        <v>264</v>
      </c>
      <c r="H203" s="15" t="s">
        <v>495</v>
      </c>
      <c r="I203" s="15" t="s">
        <v>495</v>
      </c>
      <c r="J203" s="16">
        <v>119000.0</v>
      </c>
      <c r="K203" s="16">
        <v>1.0</v>
      </c>
      <c r="L203" s="17">
        <v>45973.48888888889</v>
      </c>
      <c r="M203" s="17">
        <v>45975.74065972222</v>
      </c>
      <c r="N203" s="17">
        <v>45975.775</v>
      </c>
      <c r="O203" s="18"/>
      <c r="P203" s="18"/>
      <c r="Q203" s="18"/>
      <c r="R203" s="18"/>
      <c r="S203" s="18"/>
      <c r="T203" s="18"/>
      <c r="U203" s="18"/>
    </row>
    <row r="204">
      <c r="A204" s="14">
        <f t="shared" si="1"/>
        <v>45973</v>
      </c>
      <c r="B204" s="15" t="s">
        <v>170</v>
      </c>
      <c r="C204" s="15" t="s">
        <v>30</v>
      </c>
      <c r="D204" s="15" t="s">
        <v>496</v>
      </c>
      <c r="E204" s="16">
        <v>4.368366317E9</v>
      </c>
      <c r="F204" s="15">
        <v>2.774671191E9</v>
      </c>
      <c r="G204" s="15" t="s">
        <v>131</v>
      </c>
      <c r="H204" s="15" t="s">
        <v>497</v>
      </c>
      <c r="I204" s="15" t="s">
        <v>498</v>
      </c>
      <c r="J204" s="16">
        <v>288000.0</v>
      </c>
      <c r="K204" s="16">
        <v>4.0</v>
      </c>
      <c r="L204" s="17">
        <v>45973.41336805555</v>
      </c>
      <c r="M204" s="17">
        <v>45974.729629629626</v>
      </c>
      <c r="N204" s="17">
        <v>45985.0</v>
      </c>
      <c r="O204" s="18"/>
      <c r="P204" s="18"/>
      <c r="Q204" s="18"/>
      <c r="R204" s="18"/>
      <c r="S204" s="18"/>
      <c r="T204" s="18"/>
      <c r="U204" s="18"/>
    </row>
    <row r="205">
      <c r="A205" s="14">
        <f t="shared" si="1"/>
        <v>45973</v>
      </c>
      <c r="B205" s="15" t="s">
        <v>170</v>
      </c>
      <c r="C205" s="15" t="s">
        <v>30</v>
      </c>
      <c r="D205" s="15" t="s">
        <v>499</v>
      </c>
      <c r="E205" s="16">
        <v>4.368323356E9</v>
      </c>
      <c r="F205" s="15">
        <v>4.180303895E9</v>
      </c>
      <c r="G205" s="15" t="s">
        <v>43</v>
      </c>
      <c r="H205" s="15" t="s">
        <v>500</v>
      </c>
      <c r="I205" s="15" t="s">
        <v>500</v>
      </c>
      <c r="J205" s="16">
        <v>59000.0</v>
      </c>
      <c r="K205" s="16">
        <v>1.0</v>
      </c>
      <c r="L205" s="17">
        <v>45973.3259837963</v>
      </c>
      <c r="M205" s="17">
        <v>45974.708958333336</v>
      </c>
      <c r="N205" s="17">
        <v>45985.0</v>
      </c>
      <c r="O205" s="18"/>
      <c r="P205" s="18"/>
      <c r="Q205" s="18"/>
      <c r="R205" s="18"/>
      <c r="S205" s="18"/>
      <c r="T205" s="18"/>
      <c r="U205" s="18"/>
    </row>
    <row r="206">
      <c r="A206" s="14">
        <f t="shared" si="1"/>
        <v>45972</v>
      </c>
      <c r="B206" s="15" t="s">
        <v>170</v>
      </c>
      <c r="C206" s="15" t="s">
        <v>30</v>
      </c>
      <c r="D206" s="15" t="s">
        <v>501</v>
      </c>
      <c r="E206" s="16">
        <v>4.368201391E9</v>
      </c>
      <c r="F206" s="15">
        <v>4.180303895E9</v>
      </c>
      <c r="G206" s="15" t="s">
        <v>43</v>
      </c>
      <c r="H206" s="15" t="s">
        <v>502</v>
      </c>
      <c r="I206" s="15" t="s">
        <v>503</v>
      </c>
      <c r="J206" s="16">
        <v>59000.0</v>
      </c>
      <c r="K206" s="16">
        <v>1.0</v>
      </c>
      <c r="L206" s="17">
        <v>45972.94829861111</v>
      </c>
      <c r="M206" s="17">
        <v>45974.451527777775</v>
      </c>
      <c r="N206" s="17">
        <v>45985.0</v>
      </c>
      <c r="O206" s="18"/>
      <c r="P206" s="18"/>
      <c r="Q206" s="18"/>
      <c r="R206" s="18"/>
      <c r="S206" s="18"/>
      <c r="T206" s="18"/>
      <c r="U206" s="18"/>
    </row>
    <row r="207">
      <c r="A207" s="14">
        <f t="shared" si="1"/>
        <v>45972</v>
      </c>
      <c r="B207" s="15" t="s">
        <v>170</v>
      </c>
      <c r="C207" s="15" t="s">
        <v>40</v>
      </c>
      <c r="D207" s="15" t="s">
        <v>504</v>
      </c>
      <c r="E207" s="16">
        <v>2.539503034E9</v>
      </c>
      <c r="F207" s="15" t="s">
        <v>42</v>
      </c>
      <c r="G207" s="15" t="s">
        <v>43</v>
      </c>
      <c r="H207" s="15" t="s">
        <v>505</v>
      </c>
      <c r="I207" s="15" t="s">
        <v>505</v>
      </c>
      <c r="J207" s="16">
        <v>59000.0</v>
      </c>
      <c r="K207" s="16">
        <v>1.0</v>
      </c>
      <c r="L207" s="17">
        <v>45972.9375</v>
      </c>
      <c r="M207" s="17">
        <v>45974.69631944445</v>
      </c>
      <c r="N207" s="17">
        <v>45982.084027777775</v>
      </c>
      <c r="O207" s="18"/>
      <c r="P207" s="18"/>
      <c r="Q207" s="18"/>
      <c r="R207" s="18"/>
      <c r="S207" s="18"/>
      <c r="T207" s="18"/>
      <c r="U207" s="18"/>
    </row>
    <row r="208">
      <c r="A208" s="14">
        <f t="shared" si="1"/>
        <v>45972</v>
      </c>
      <c r="B208" s="15" t="s">
        <v>170</v>
      </c>
      <c r="C208" s="15" t="s">
        <v>30</v>
      </c>
      <c r="D208" s="15" t="s">
        <v>506</v>
      </c>
      <c r="E208" s="16">
        <v>4.368131334E9</v>
      </c>
      <c r="F208" s="15">
        <v>4.180303895E9</v>
      </c>
      <c r="G208" s="15" t="s">
        <v>43</v>
      </c>
      <c r="H208" s="15" t="s">
        <v>507</v>
      </c>
      <c r="I208" s="15" t="s">
        <v>507</v>
      </c>
      <c r="J208" s="16">
        <v>118000.0</v>
      </c>
      <c r="K208" s="16">
        <v>2.0</v>
      </c>
      <c r="L208" s="17">
        <v>45972.889861111114</v>
      </c>
      <c r="M208" s="17">
        <v>45974.681180555555</v>
      </c>
      <c r="N208" s="17">
        <v>45985.0</v>
      </c>
      <c r="O208" s="18"/>
      <c r="P208" s="18"/>
      <c r="Q208" s="18"/>
      <c r="R208" s="18"/>
      <c r="S208" s="18"/>
      <c r="T208" s="18"/>
      <c r="U208" s="18"/>
    </row>
    <row r="209">
      <c r="A209" s="14">
        <f t="shared" si="1"/>
        <v>45972</v>
      </c>
      <c r="B209" s="15" t="s">
        <v>170</v>
      </c>
      <c r="C209" s="15" t="s">
        <v>30</v>
      </c>
      <c r="D209" s="15" t="s">
        <v>508</v>
      </c>
      <c r="E209" s="16">
        <v>4.368114466E9</v>
      </c>
      <c r="F209" s="15">
        <v>4.113890503E9</v>
      </c>
      <c r="G209" s="15" t="s">
        <v>509</v>
      </c>
      <c r="H209" s="15" t="s">
        <v>510</v>
      </c>
      <c r="I209" s="15" t="s">
        <v>510</v>
      </c>
      <c r="J209" s="16">
        <v>14500.0</v>
      </c>
      <c r="K209" s="16">
        <v>1.0</v>
      </c>
      <c r="L209" s="17">
        <v>45972.87416666667</v>
      </c>
      <c r="M209" s="17">
        <v>45974.7296875</v>
      </c>
      <c r="N209" s="17">
        <v>45978.0</v>
      </c>
      <c r="O209" s="18"/>
      <c r="P209" s="18"/>
      <c r="Q209" s="18"/>
      <c r="R209" s="18"/>
      <c r="S209" s="18"/>
      <c r="T209" s="18"/>
      <c r="U209" s="18"/>
    </row>
    <row r="210">
      <c r="A210" s="14">
        <f t="shared" si="1"/>
        <v>45972</v>
      </c>
      <c r="B210" s="15" t="s">
        <v>170</v>
      </c>
      <c r="C210" s="15" t="s">
        <v>30</v>
      </c>
      <c r="D210" s="15" t="s">
        <v>511</v>
      </c>
      <c r="E210" s="16">
        <v>4.368088846E9</v>
      </c>
      <c r="F210" s="15">
        <v>4.180303895E9</v>
      </c>
      <c r="G210" s="15" t="s">
        <v>43</v>
      </c>
      <c r="H210" s="15" t="s">
        <v>512</v>
      </c>
      <c r="I210" s="15" t="s">
        <v>512</v>
      </c>
      <c r="J210" s="16">
        <v>59000.0</v>
      </c>
      <c r="K210" s="16">
        <v>1.0</v>
      </c>
      <c r="L210" s="17">
        <v>45972.84746527778</v>
      </c>
      <c r="M210" s="17">
        <v>45974.59092592593</v>
      </c>
      <c r="N210" s="17">
        <v>45985.0</v>
      </c>
      <c r="O210" s="18"/>
      <c r="P210" s="18"/>
      <c r="Q210" s="18"/>
      <c r="R210" s="18"/>
      <c r="S210" s="18"/>
      <c r="T210" s="18"/>
      <c r="U210" s="18"/>
    </row>
    <row r="211">
      <c r="A211" s="14">
        <f t="shared" si="1"/>
        <v>45973</v>
      </c>
      <c r="B211" s="15" t="s">
        <v>170</v>
      </c>
      <c r="C211" s="15" t="s">
        <v>40</v>
      </c>
      <c r="D211" s="15" t="s">
        <v>513</v>
      </c>
      <c r="E211" s="16">
        <v>2.539465986E9</v>
      </c>
      <c r="F211" s="15" t="s">
        <v>42</v>
      </c>
      <c r="G211" s="15" t="s">
        <v>43</v>
      </c>
      <c r="H211" s="15" t="s">
        <v>514</v>
      </c>
      <c r="I211" s="15" t="s">
        <v>515</v>
      </c>
      <c r="J211" s="16">
        <v>59000.0</v>
      </c>
      <c r="K211" s="16">
        <v>1.0</v>
      </c>
      <c r="L211" s="17">
        <v>45973.4125</v>
      </c>
      <c r="M211" s="17">
        <v>45974.68177083333</v>
      </c>
      <c r="N211" s="17">
        <v>45982.07083333333</v>
      </c>
      <c r="O211" s="18"/>
      <c r="P211" s="18"/>
      <c r="Q211" s="18"/>
      <c r="R211" s="18"/>
      <c r="S211" s="18"/>
      <c r="T211" s="18"/>
      <c r="U211" s="18"/>
    </row>
    <row r="212">
      <c r="A212" s="14">
        <f t="shared" si="1"/>
        <v>45972</v>
      </c>
      <c r="B212" s="15" t="s">
        <v>170</v>
      </c>
      <c r="C212" s="15" t="s">
        <v>30</v>
      </c>
      <c r="D212" s="15" t="s">
        <v>516</v>
      </c>
      <c r="E212" s="16">
        <v>4.368037118E9</v>
      </c>
      <c r="F212" s="15">
        <v>4.180303895E9</v>
      </c>
      <c r="G212" s="15" t="s">
        <v>43</v>
      </c>
      <c r="H212" s="15" t="s">
        <v>517</v>
      </c>
      <c r="I212" s="15" t="s">
        <v>517</v>
      </c>
      <c r="J212" s="16">
        <v>118000.0</v>
      </c>
      <c r="K212" s="16">
        <v>2.0</v>
      </c>
      <c r="L212" s="17">
        <v>45972.78456018519</v>
      </c>
      <c r="M212" s="17">
        <v>45974.681238425925</v>
      </c>
      <c r="N212" s="17">
        <v>45985.0</v>
      </c>
      <c r="O212" s="18"/>
      <c r="P212" s="18"/>
      <c r="Q212" s="18"/>
      <c r="R212" s="18"/>
      <c r="S212" s="18"/>
      <c r="T212" s="18"/>
      <c r="U212" s="18"/>
    </row>
    <row r="213">
      <c r="A213" s="14">
        <f t="shared" si="1"/>
        <v>45972</v>
      </c>
      <c r="B213" s="15" t="s">
        <v>170</v>
      </c>
      <c r="C213" s="15" t="s">
        <v>30</v>
      </c>
      <c r="D213" s="15" t="s">
        <v>518</v>
      </c>
      <c r="E213" s="16">
        <v>4.36801497E9</v>
      </c>
      <c r="F213" s="15">
        <v>4.547760543E9</v>
      </c>
      <c r="G213" s="15" t="s">
        <v>519</v>
      </c>
      <c r="H213" s="15" t="s">
        <v>520</v>
      </c>
      <c r="I213" s="15" t="s">
        <v>521</v>
      </c>
      <c r="J213" s="16">
        <v>119000.0</v>
      </c>
      <c r="K213" s="16">
        <v>1.0</v>
      </c>
      <c r="L213" s="17">
        <v>45972.75236111111</v>
      </c>
      <c r="M213" s="17">
        <v>45974.54913194444</v>
      </c>
      <c r="N213" s="17">
        <v>45985.0</v>
      </c>
      <c r="O213" s="18"/>
      <c r="P213" s="18"/>
      <c r="Q213" s="18"/>
      <c r="R213" s="18"/>
      <c r="S213" s="18"/>
      <c r="T213" s="18"/>
      <c r="U213" s="18"/>
    </row>
    <row r="214">
      <c r="A214" s="14">
        <f t="shared" si="1"/>
        <v>45972</v>
      </c>
      <c r="B214" s="15" t="s">
        <v>170</v>
      </c>
      <c r="C214" s="15" t="s">
        <v>30</v>
      </c>
      <c r="D214" s="15" t="s">
        <v>269</v>
      </c>
      <c r="E214" s="16">
        <v>4.368009784E9</v>
      </c>
      <c r="F214" s="15">
        <v>4.180303895E9</v>
      </c>
      <c r="G214" s="15" t="s">
        <v>43</v>
      </c>
      <c r="H214" s="15" t="s">
        <v>270</v>
      </c>
      <c r="I214" s="15" t="s">
        <v>522</v>
      </c>
      <c r="J214" s="16">
        <v>59000.0</v>
      </c>
      <c r="K214" s="16">
        <v>1.0</v>
      </c>
      <c r="L214" s="17">
        <v>45972.744988425926</v>
      </c>
      <c r="M214" s="17">
        <v>45974.70898148148</v>
      </c>
      <c r="N214" s="17">
        <v>45985.0</v>
      </c>
      <c r="O214" s="18"/>
      <c r="P214" s="18"/>
      <c r="Q214" s="18"/>
      <c r="R214" s="18"/>
      <c r="S214" s="18"/>
      <c r="T214" s="18"/>
      <c r="U214" s="18"/>
    </row>
    <row r="215">
      <c r="A215" s="14">
        <f t="shared" si="1"/>
        <v>45972</v>
      </c>
      <c r="B215" s="15" t="s">
        <v>170</v>
      </c>
      <c r="C215" s="15" t="s">
        <v>40</v>
      </c>
      <c r="D215" s="15" t="s">
        <v>523</v>
      </c>
      <c r="E215" s="16">
        <v>2.539441353E9</v>
      </c>
      <c r="F215" s="15" t="s">
        <v>226</v>
      </c>
      <c r="G215" s="15" t="s">
        <v>35</v>
      </c>
      <c r="H215" s="15" t="s">
        <v>524</v>
      </c>
      <c r="I215" s="15" t="s">
        <v>524</v>
      </c>
      <c r="J215" s="16">
        <v>65000.0</v>
      </c>
      <c r="K215" s="16">
        <v>1.0</v>
      </c>
      <c r="L215" s="17">
        <v>45972.700694444444</v>
      </c>
      <c r="M215" s="17">
        <v>45974.57165509259</v>
      </c>
      <c r="N215" s="17">
        <v>45982.0625</v>
      </c>
      <c r="O215" s="18"/>
      <c r="P215" s="18"/>
      <c r="Q215" s="18"/>
      <c r="R215" s="18"/>
      <c r="S215" s="18"/>
      <c r="T215" s="18"/>
      <c r="U215" s="18"/>
    </row>
    <row r="216">
      <c r="A216" s="14">
        <f t="shared" si="1"/>
        <v>45972</v>
      </c>
      <c r="B216" s="15" t="s">
        <v>170</v>
      </c>
      <c r="C216" s="15" t="s">
        <v>30</v>
      </c>
      <c r="D216" s="15" t="s">
        <v>525</v>
      </c>
      <c r="E216" s="16">
        <v>4.36795314E9</v>
      </c>
      <c r="F216" s="15">
        <v>4.544699629E9</v>
      </c>
      <c r="G216" s="15" t="s">
        <v>212</v>
      </c>
      <c r="H216" s="15" t="s">
        <v>526</v>
      </c>
      <c r="I216" s="15" t="s">
        <v>526</v>
      </c>
      <c r="J216" s="16">
        <v>145000.0</v>
      </c>
      <c r="K216" s="16">
        <v>1.0</v>
      </c>
      <c r="L216" s="17">
        <v>45972.67190972222</v>
      </c>
      <c r="M216" s="17">
        <v>45974.576840277776</v>
      </c>
      <c r="N216" s="17">
        <v>45985.0</v>
      </c>
      <c r="O216" s="18"/>
      <c r="P216" s="18"/>
      <c r="Q216" s="18"/>
      <c r="R216" s="18"/>
      <c r="S216" s="18"/>
      <c r="T216" s="18"/>
      <c r="U216" s="18"/>
    </row>
    <row r="217">
      <c r="A217" s="14">
        <f t="shared" si="1"/>
        <v>45972</v>
      </c>
      <c r="B217" s="15" t="s">
        <v>47</v>
      </c>
      <c r="C217" s="15" t="s">
        <v>30</v>
      </c>
      <c r="D217" s="15" t="s">
        <v>527</v>
      </c>
      <c r="E217" s="16">
        <v>4.367912779E9</v>
      </c>
      <c r="F217" s="15">
        <v>4.180303895E9</v>
      </c>
      <c r="G217" s="15" t="s">
        <v>43</v>
      </c>
      <c r="H217" s="15" t="s">
        <v>528</v>
      </c>
      <c r="I217" s="15" t="s">
        <v>528</v>
      </c>
      <c r="J217" s="16">
        <v>59000.0</v>
      </c>
      <c r="K217" s="16">
        <v>1.0</v>
      </c>
      <c r="L217" s="17">
        <v>45972.62746527778</v>
      </c>
      <c r="M217" s="20"/>
      <c r="N217" s="20"/>
      <c r="O217" s="18"/>
      <c r="P217" s="18"/>
      <c r="Q217" s="18"/>
      <c r="R217" s="18"/>
      <c r="S217" s="18"/>
      <c r="T217" s="18"/>
      <c r="U217" s="18"/>
    </row>
    <row r="218">
      <c r="A218" s="14">
        <f t="shared" si="1"/>
        <v>45972</v>
      </c>
      <c r="B218" s="15" t="s">
        <v>170</v>
      </c>
      <c r="C218" s="15" t="s">
        <v>30</v>
      </c>
      <c r="D218" s="15" t="s">
        <v>529</v>
      </c>
      <c r="E218" s="16">
        <v>4.36783069E9</v>
      </c>
      <c r="F218" s="15">
        <v>4.544699629E9</v>
      </c>
      <c r="G218" s="15" t="s">
        <v>212</v>
      </c>
      <c r="H218" s="15" t="s">
        <v>530</v>
      </c>
      <c r="I218" s="15" t="s">
        <v>530</v>
      </c>
      <c r="J218" s="16">
        <v>145000.0</v>
      </c>
      <c r="K218" s="16">
        <v>1.0</v>
      </c>
      <c r="L218" s="17">
        <v>45972.539131944446</v>
      </c>
      <c r="M218" s="17">
        <v>45973.653449074074</v>
      </c>
      <c r="N218" s="17">
        <v>45982.0</v>
      </c>
      <c r="O218" s="18"/>
      <c r="P218" s="18"/>
      <c r="Q218" s="18"/>
      <c r="R218" s="18"/>
      <c r="S218" s="18"/>
      <c r="T218" s="18"/>
      <c r="U218" s="18"/>
    </row>
    <row r="219">
      <c r="A219" s="14">
        <f t="shared" si="1"/>
        <v>45972</v>
      </c>
      <c r="B219" s="15" t="s">
        <v>170</v>
      </c>
      <c r="C219" s="15" t="s">
        <v>30</v>
      </c>
      <c r="D219" s="15" t="s">
        <v>531</v>
      </c>
      <c r="E219" s="16">
        <v>4.367758607E9</v>
      </c>
      <c r="F219" s="15">
        <v>4.544699629E9</v>
      </c>
      <c r="G219" s="15" t="s">
        <v>212</v>
      </c>
      <c r="H219" s="15" t="s">
        <v>532</v>
      </c>
      <c r="I219" s="15" t="s">
        <v>532</v>
      </c>
      <c r="J219" s="16">
        <v>145000.0</v>
      </c>
      <c r="K219" s="16">
        <v>1.0</v>
      </c>
      <c r="L219" s="17">
        <v>45972.46912037037</v>
      </c>
      <c r="M219" s="17">
        <v>45973.57010416667</v>
      </c>
      <c r="N219" s="17">
        <v>45982.0</v>
      </c>
      <c r="O219" s="18"/>
      <c r="P219" s="18"/>
      <c r="Q219" s="18"/>
      <c r="R219" s="18"/>
      <c r="S219" s="18"/>
      <c r="T219" s="18"/>
      <c r="U219" s="18"/>
    </row>
    <row r="220">
      <c r="A220" s="14">
        <f t="shared" si="1"/>
        <v>45972</v>
      </c>
      <c r="B220" s="15" t="s">
        <v>170</v>
      </c>
      <c r="C220" s="15" t="s">
        <v>30</v>
      </c>
      <c r="D220" s="15" t="s">
        <v>533</v>
      </c>
      <c r="E220" s="16">
        <v>4.367752951E9</v>
      </c>
      <c r="F220" s="15">
        <v>2.774671191E9</v>
      </c>
      <c r="G220" s="15" t="s">
        <v>131</v>
      </c>
      <c r="H220" s="15" t="s">
        <v>534</v>
      </c>
      <c r="I220" s="15" t="s">
        <v>535</v>
      </c>
      <c r="J220" s="16">
        <v>72000.0</v>
      </c>
      <c r="K220" s="16">
        <v>1.0</v>
      </c>
      <c r="L220" s="17">
        <v>45972.46511574074</v>
      </c>
      <c r="M220" s="17">
        <v>45973.59761574074</v>
      </c>
      <c r="N220" s="17">
        <v>45982.0</v>
      </c>
      <c r="O220" s="18"/>
      <c r="P220" s="18"/>
      <c r="Q220" s="18"/>
      <c r="R220" s="18"/>
      <c r="S220" s="18"/>
      <c r="T220" s="18"/>
      <c r="U220" s="18"/>
    </row>
    <row r="221">
      <c r="A221" s="14">
        <f t="shared" si="1"/>
        <v>45972</v>
      </c>
      <c r="B221" s="15" t="s">
        <v>170</v>
      </c>
      <c r="C221" s="15" t="s">
        <v>30</v>
      </c>
      <c r="D221" s="15" t="s">
        <v>536</v>
      </c>
      <c r="E221" s="16">
        <v>4.367748384E9</v>
      </c>
      <c r="F221" s="15">
        <v>4.180303895E9</v>
      </c>
      <c r="G221" s="15" t="s">
        <v>43</v>
      </c>
      <c r="H221" s="15" t="s">
        <v>537</v>
      </c>
      <c r="I221" s="15" t="s">
        <v>537</v>
      </c>
      <c r="J221" s="16">
        <v>59000.0</v>
      </c>
      <c r="K221" s="16">
        <v>1.0</v>
      </c>
      <c r="L221" s="17">
        <v>45972.46171296296</v>
      </c>
      <c r="M221" s="17">
        <v>45973.67418981482</v>
      </c>
      <c r="N221" s="17">
        <v>45982.0</v>
      </c>
      <c r="O221" s="18"/>
      <c r="P221" s="18"/>
      <c r="Q221" s="18"/>
      <c r="R221" s="18"/>
      <c r="S221" s="18"/>
      <c r="T221" s="18"/>
      <c r="U221" s="18"/>
    </row>
    <row r="222">
      <c r="A222" s="14">
        <f t="shared" si="1"/>
        <v>45972</v>
      </c>
      <c r="B222" s="15" t="s">
        <v>170</v>
      </c>
      <c r="C222" s="15" t="s">
        <v>30</v>
      </c>
      <c r="D222" s="15" t="s">
        <v>538</v>
      </c>
      <c r="E222" s="16">
        <v>4.367710673E9</v>
      </c>
      <c r="F222" s="15">
        <v>3.51024234E9</v>
      </c>
      <c r="G222" s="15" t="s">
        <v>96</v>
      </c>
      <c r="H222" s="15" t="s">
        <v>539</v>
      </c>
      <c r="I222" s="15" t="s">
        <v>539</v>
      </c>
      <c r="J222" s="16">
        <v>19900.0</v>
      </c>
      <c r="K222" s="16">
        <v>1.0</v>
      </c>
      <c r="L222" s="17">
        <v>45972.429930555554</v>
      </c>
      <c r="M222" s="17">
        <v>45973.64627314815</v>
      </c>
      <c r="N222" s="17">
        <v>45974.0</v>
      </c>
      <c r="O222" s="18"/>
      <c r="P222" s="18"/>
      <c r="Q222" s="18"/>
      <c r="R222" s="18"/>
      <c r="S222" s="18"/>
      <c r="T222" s="18"/>
      <c r="U222" s="18"/>
    </row>
    <row r="223">
      <c r="A223" s="14">
        <f t="shared" si="1"/>
        <v>45972</v>
      </c>
      <c r="B223" s="15" t="s">
        <v>170</v>
      </c>
      <c r="C223" s="15" t="s">
        <v>30</v>
      </c>
      <c r="D223" s="15" t="s">
        <v>540</v>
      </c>
      <c r="E223" s="16">
        <v>4.36770959E9</v>
      </c>
      <c r="F223" s="15">
        <v>2.10684596E9</v>
      </c>
      <c r="G223" s="15" t="s">
        <v>32</v>
      </c>
      <c r="H223" s="15" t="s">
        <v>541</v>
      </c>
      <c r="I223" s="15" t="s">
        <v>541</v>
      </c>
      <c r="J223" s="16">
        <v>34900.0</v>
      </c>
      <c r="K223" s="16">
        <v>1.0</v>
      </c>
      <c r="L223" s="17">
        <v>45972.428819444445</v>
      </c>
      <c r="M223" s="17">
        <v>45973.64627314815</v>
      </c>
      <c r="N223" s="17">
        <v>45982.0</v>
      </c>
      <c r="O223" s="18"/>
      <c r="P223" s="18"/>
      <c r="Q223" s="18"/>
      <c r="R223" s="18"/>
      <c r="S223" s="18"/>
      <c r="T223" s="18"/>
      <c r="U223" s="18"/>
    </row>
    <row r="224">
      <c r="A224" s="14">
        <f t="shared" si="1"/>
        <v>45972</v>
      </c>
      <c r="B224" s="15" t="s">
        <v>170</v>
      </c>
      <c r="C224" s="15" t="s">
        <v>40</v>
      </c>
      <c r="D224" s="15" t="s">
        <v>542</v>
      </c>
      <c r="E224" s="16">
        <v>2.539365777E9</v>
      </c>
      <c r="F224" s="15" t="s">
        <v>42</v>
      </c>
      <c r="G224" s="15" t="s">
        <v>43</v>
      </c>
      <c r="H224" s="15" t="s">
        <v>543</v>
      </c>
      <c r="I224" s="15" t="s">
        <v>544</v>
      </c>
      <c r="J224" s="16">
        <v>118000.0</v>
      </c>
      <c r="K224" s="16">
        <v>2.0</v>
      </c>
      <c r="L224" s="17">
        <v>45972.40277777778</v>
      </c>
      <c r="M224" s="17">
        <v>45973.69204861111</v>
      </c>
      <c r="N224" s="17">
        <v>45981.104166666664</v>
      </c>
      <c r="O224" s="18"/>
      <c r="P224" s="18"/>
      <c r="Q224" s="18"/>
      <c r="R224" s="18"/>
      <c r="S224" s="18"/>
      <c r="T224" s="18"/>
      <c r="U224" s="18"/>
    </row>
    <row r="225">
      <c r="A225" s="14">
        <f t="shared" si="1"/>
        <v>45972</v>
      </c>
      <c r="B225" s="15" t="s">
        <v>170</v>
      </c>
      <c r="C225" s="15" t="s">
        <v>30</v>
      </c>
      <c r="D225" s="15" t="s">
        <v>545</v>
      </c>
      <c r="E225" s="16">
        <v>4.36763777E9</v>
      </c>
      <c r="F225" s="15">
        <v>4.396286099E9</v>
      </c>
      <c r="G225" s="15" t="s">
        <v>250</v>
      </c>
      <c r="H225" s="15" t="s">
        <v>546</v>
      </c>
      <c r="I225" s="15" t="s">
        <v>546</v>
      </c>
      <c r="J225" s="16">
        <v>28000.0</v>
      </c>
      <c r="K225" s="16">
        <v>1.0</v>
      </c>
      <c r="L225" s="17">
        <v>45972.33605324074</v>
      </c>
      <c r="M225" s="17">
        <v>45973.64627314815</v>
      </c>
      <c r="N225" s="17">
        <v>45982.0</v>
      </c>
      <c r="O225" s="18"/>
      <c r="P225" s="18"/>
      <c r="Q225" s="18"/>
      <c r="R225" s="18"/>
      <c r="S225" s="18"/>
      <c r="T225" s="18"/>
      <c r="U225" s="18"/>
    </row>
    <row r="226">
      <c r="A226" s="14">
        <f t="shared" si="1"/>
        <v>45972</v>
      </c>
      <c r="B226" s="15" t="s">
        <v>170</v>
      </c>
      <c r="C226" s="15" t="s">
        <v>40</v>
      </c>
      <c r="D226" s="15" t="s">
        <v>547</v>
      </c>
      <c r="E226" s="16">
        <v>2.539353294E9</v>
      </c>
      <c r="F226" s="15" t="s">
        <v>42</v>
      </c>
      <c r="G226" s="15" t="s">
        <v>43</v>
      </c>
      <c r="H226" s="15" t="s">
        <v>548</v>
      </c>
      <c r="I226" s="15" t="s">
        <v>548</v>
      </c>
      <c r="J226" s="16">
        <v>59000.0</v>
      </c>
      <c r="K226" s="16">
        <v>1.0</v>
      </c>
      <c r="L226" s="17">
        <v>45972.33472222222</v>
      </c>
      <c r="M226" s="17">
        <v>45973.55872685185</v>
      </c>
      <c r="N226" s="17">
        <v>45973.785416666666</v>
      </c>
      <c r="O226" s="18"/>
      <c r="P226" s="18"/>
      <c r="Q226" s="18"/>
      <c r="R226" s="18"/>
      <c r="S226" s="18"/>
      <c r="T226" s="18"/>
      <c r="U226" s="18"/>
    </row>
    <row r="227">
      <c r="A227" s="14">
        <f t="shared" si="1"/>
        <v>45972</v>
      </c>
      <c r="B227" s="15" t="s">
        <v>170</v>
      </c>
      <c r="C227" s="15" t="s">
        <v>30</v>
      </c>
      <c r="D227" s="15" t="s">
        <v>549</v>
      </c>
      <c r="E227" s="16">
        <v>4.367588284E9</v>
      </c>
      <c r="F227" s="15">
        <v>4.180303895E9</v>
      </c>
      <c r="G227" s="15" t="s">
        <v>43</v>
      </c>
      <c r="H227" s="15" t="s">
        <v>550</v>
      </c>
      <c r="I227" s="15" t="s">
        <v>550</v>
      </c>
      <c r="J227" s="16">
        <v>59000.0</v>
      </c>
      <c r="K227" s="16">
        <v>1.0</v>
      </c>
      <c r="L227" s="17">
        <v>45972.066400462965</v>
      </c>
      <c r="M227" s="17">
        <v>45973.778275462966</v>
      </c>
      <c r="N227" s="17">
        <v>45982.0</v>
      </c>
      <c r="O227" s="18"/>
      <c r="P227" s="18"/>
      <c r="Q227" s="18"/>
      <c r="R227" s="18"/>
      <c r="S227" s="18"/>
      <c r="T227" s="18"/>
      <c r="U227" s="18"/>
    </row>
    <row r="228">
      <c r="A228" s="14">
        <f t="shared" si="1"/>
        <v>45972</v>
      </c>
      <c r="B228" s="15" t="s">
        <v>170</v>
      </c>
      <c r="C228" s="15" t="s">
        <v>40</v>
      </c>
      <c r="D228" s="15" t="s">
        <v>551</v>
      </c>
      <c r="E228" s="16">
        <v>2.539337486E9</v>
      </c>
      <c r="F228" s="15" t="s">
        <v>226</v>
      </c>
      <c r="G228" s="15" t="s">
        <v>35</v>
      </c>
      <c r="H228" s="15" t="s">
        <v>552</v>
      </c>
      <c r="I228" s="15" t="s">
        <v>552</v>
      </c>
      <c r="J228" s="16">
        <v>65000.0</v>
      </c>
      <c r="K228" s="16">
        <v>1.0</v>
      </c>
      <c r="L228" s="17">
        <v>45972.05347222222</v>
      </c>
      <c r="M228" s="17">
        <v>45973.68736111111</v>
      </c>
      <c r="N228" s="17">
        <v>45981.09652777778</v>
      </c>
      <c r="O228" s="18"/>
      <c r="P228" s="18"/>
      <c r="Q228" s="18"/>
      <c r="R228" s="18"/>
      <c r="S228" s="18"/>
      <c r="T228" s="18"/>
      <c r="U228" s="18"/>
    </row>
    <row r="229">
      <c r="A229" s="14">
        <f t="shared" si="1"/>
        <v>45972</v>
      </c>
      <c r="B229" s="15" t="s">
        <v>170</v>
      </c>
      <c r="C229" s="15" t="s">
        <v>30</v>
      </c>
      <c r="D229" s="15" t="s">
        <v>553</v>
      </c>
      <c r="E229" s="16">
        <v>4.367572777E9</v>
      </c>
      <c r="F229" s="15">
        <v>4.180303895E9</v>
      </c>
      <c r="G229" s="15" t="s">
        <v>43</v>
      </c>
      <c r="H229" s="15" t="s">
        <v>554</v>
      </c>
      <c r="I229" s="15" t="s">
        <v>554</v>
      </c>
      <c r="J229" s="16">
        <v>59000.0</v>
      </c>
      <c r="K229" s="16">
        <v>1.0</v>
      </c>
      <c r="L229" s="17">
        <v>45972.021898148145</v>
      </c>
      <c r="M229" s="17">
        <v>45973.611666666664</v>
      </c>
      <c r="N229" s="17">
        <v>45982.0</v>
      </c>
      <c r="O229" s="18"/>
      <c r="P229" s="18"/>
      <c r="Q229" s="18"/>
      <c r="R229" s="18"/>
      <c r="S229" s="18"/>
      <c r="T229" s="18"/>
      <c r="U229" s="18"/>
    </row>
    <row r="230">
      <c r="A230" s="14">
        <f t="shared" si="1"/>
        <v>45972</v>
      </c>
      <c r="B230" s="15" t="s">
        <v>170</v>
      </c>
      <c r="C230" s="15" t="s">
        <v>30</v>
      </c>
      <c r="D230" s="15" t="s">
        <v>555</v>
      </c>
      <c r="E230" s="16">
        <v>4.367566321E9</v>
      </c>
      <c r="F230" s="15">
        <v>4.546798282E9</v>
      </c>
      <c r="G230" s="15" t="s">
        <v>135</v>
      </c>
      <c r="H230" s="15" t="s">
        <v>556</v>
      </c>
      <c r="I230" s="15" t="s">
        <v>556</v>
      </c>
      <c r="J230" s="16">
        <v>109000.0</v>
      </c>
      <c r="K230" s="16">
        <v>1.0</v>
      </c>
      <c r="L230" s="17">
        <v>45972.00848379629</v>
      </c>
      <c r="M230" s="17">
        <v>45973.41704861111</v>
      </c>
      <c r="N230" s="17">
        <v>45982.0</v>
      </c>
      <c r="O230" s="18"/>
      <c r="P230" s="18"/>
      <c r="Q230" s="18"/>
      <c r="R230" s="18"/>
      <c r="S230" s="18"/>
      <c r="T230" s="18"/>
      <c r="U230" s="18"/>
    </row>
    <row r="231">
      <c r="A231" s="14">
        <f t="shared" si="1"/>
        <v>45971</v>
      </c>
      <c r="B231" s="15" t="s">
        <v>47</v>
      </c>
      <c r="C231" s="15" t="s">
        <v>30</v>
      </c>
      <c r="D231" s="15" t="s">
        <v>557</v>
      </c>
      <c r="E231" s="16">
        <v>4.367543713E9</v>
      </c>
      <c r="F231" s="15">
        <v>4.54469704E9</v>
      </c>
      <c r="G231" s="15" t="s">
        <v>558</v>
      </c>
      <c r="H231" s="15" t="s">
        <v>559</v>
      </c>
      <c r="I231" s="15" t="s">
        <v>560</v>
      </c>
      <c r="J231" s="16">
        <v>145000.0</v>
      </c>
      <c r="K231" s="16">
        <v>1.0</v>
      </c>
      <c r="L231" s="17">
        <v>45971.981400462966</v>
      </c>
      <c r="M231" s="20"/>
      <c r="N231" s="20"/>
      <c r="O231" s="18"/>
      <c r="P231" s="18"/>
      <c r="Q231" s="18"/>
      <c r="R231" s="18"/>
      <c r="S231" s="18"/>
      <c r="T231" s="18"/>
      <c r="U231" s="18"/>
    </row>
    <row r="232">
      <c r="A232" s="14">
        <f t="shared" si="1"/>
        <v>45972</v>
      </c>
      <c r="B232" s="15" t="s">
        <v>170</v>
      </c>
      <c r="C232" s="15" t="s">
        <v>30</v>
      </c>
      <c r="D232" s="15" t="s">
        <v>561</v>
      </c>
      <c r="E232" s="16">
        <v>4.367541821E9</v>
      </c>
      <c r="F232" s="15">
        <v>4.547685725E9</v>
      </c>
      <c r="G232" s="15" t="s">
        <v>236</v>
      </c>
      <c r="H232" s="15" t="s">
        <v>562</v>
      </c>
      <c r="I232" s="15" t="s">
        <v>562</v>
      </c>
      <c r="J232" s="16">
        <v>119000.0</v>
      </c>
      <c r="K232" s="16">
        <v>1.0</v>
      </c>
      <c r="L232" s="17">
        <v>45972.291909722226</v>
      </c>
      <c r="M232" s="17">
        <v>45973.81984953704</v>
      </c>
      <c r="N232" s="17">
        <v>45982.0</v>
      </c>
      <c r="O232" s="18"/>
      <c r="P232" s="18"/>
      <c r="Q232" s="18"/>
      <c r="R232" s="18"/>
      <c r="S232" s="18"/>
      <c r="T232" s="18"/>
      <c r="U232" s="18"/>
    </row>
    <row r="233">
      <c r="A233" s="14">
        <f t="shared" si="1"/>
        <v>45971</v>
      </c>
      <c r="B233" s="15" t="s">
        <v>170</v>
      </c>
      <c r="C233" s="15" t="s">
        <v>30</v>
      </c>
      <c r="D233" s="15" t="s">
        <v>563</v>
      </c>
      <c r="E233" s="16">
        <v>4.367539859E9</v>
      </c>
      <c r="F233" s="15">
        <v>4.544683185E9</v>
      </c>
      <c r="G233" s="15" t="s">
        <v>564</v>
      </c>
      <c r="H233" s="15" t="s">
        <v>565</v>
      </c>
      <c r="I233" s="15" t="s">
        <v>566</v>
      </c>
      <c r="J233" s="16">
        <v>119000.0</v>
      </c>
      <c r="K233" s="16">
        <v>1.0</v>
      </c>
      <c r="L233" s="17">
        <v>45971.97692129629</v>
      </c>
      <c r="M233" s="17">
        <v>45973.66748842593</v>
      </c>
      <c r="N233" s="17">
        <v>45982.0</v>
      </c>
      <c r="O233" s="18"/>
      <c r="P233" s="18"/>
      <c r="Q233" s="18"/>
      <c r="R233" s="18"/>
      <c r="S233" s="18"/>
      <c r="T233" s="18"/>
      <c r="U233" s="18"/>
    </row>
    <row r="234">
      <c r="A234" s="14">
        <f t="shared" si="1"/>
        <v>45971</v>
      </c>
      <c r="B234" s="15" t="s">
        <v>170</v>
      </c>
      <c r="C234" s="15" t="s">
        <v>30</v>
      </c>
      <c r="D234" s="15" t="s">
        <v>563</v>
      </c>
      <c r="E234" s="16">
        <v>4.367539858E9</v>
      </c>
      <c r="F234" s="15">
        <v>4.544683185E9</v>
      </c>
      <c r="G234" s="15" t="s">
        <v>564</v>
      </c>
      <c r="H234" s="15" t="s">
        <v>565</v>
      </c>
      <c r="I234" s="15" t="s">
        <v>566</v>
      </c>
      <c r="J234" s="16">
        <v>119000.0</v>
      </c>
      <c r="K234" s="16">
        <v>1.0</v>
      </c>
      <c r="L234" s="17">
        <v>45971.97692129629</v>
      </c>
      <c r="M234" s="17">
        <v>45973.66748842593</v>
      </c>
      <c r="N234" s="17">
        <v>45982.0</v>
      </c>
      <c r="O234" s="18"/>
      <c r="P234" s="18"/>
      <c r="Q234" s="18"/>
      <c r="R234" s="18"/>
      <c r="S234" s="18"/>
      <c r="T234" s="18"/>
      <c r="U234" s="18"/>
    </row>
    <row r="235">
      <c r="A235" s="14">
        <f t="shared" si="1"/>
        <v>45971</v>
      </c>
      <c r="B235" s="15" t="s">
        <v>170</v>
      </c>
      <c r="C235" s="15" t="s">
        <v>30</v>
      </c>
      <c r="D235" s="15" t="s">
        <v>567</v>
      </c>
      <c r="E235" s="16">
        <v>4.367527012E9</v>
      </c>
      <c r="F235" s="15">
        <v>4.180303895E9</v>
      </c>
      <c r="G235" s="15" t="s">
        <v>43</v>
      </c>
      <c r="H235" s="15" t="s">
        <v>568</v>
      </c>
      <c r="I235" s="15" t="s">
        <v>569</v>
      </c>
      <c r="J235" s="16">
        <v>118000.0</v>
      </c>
      <c r="K235" s="16">
        <v>2.0</v>
      </c>
      <c r="L235" s="17">
        <v>45971.962488425925</v>
      </c>
      <c r="M235" s="17">
        <v>45973.55611111111</v>
      </c>
      <c r="N235" s="17">
        <v>45982.0</v>
      </c>
      <c r="O235" s="18"/>
      <c r="P235" s="18"/>
      <c r="Q235" s="18"/>
      <c r="R235" s="18"/>
      <c r="S235" s="18"/>
      <c r="T235" s="18"/>
      <c r="U235" s="18"/>
    </row>
    <row r="236">
      <c r="A236" s="14">
        <f t="shared" si="1"/>
        <v>45971</v>
      </c>
      <c r="B236" s="15" t="s">
        <v>170</v>
      </c>
      <c r="C236" s="15" t="s">
        <v>30</v>
      </c>
      <c r="D236" s="15" t="s">
        <v>570</v>
      </c>
      <c r="E236" s="16">
        <v>4.367519476E9</v>
      </c>
      <c r="F236" s="15">
        <v>4.180303895E9</v>
      </c>
      <c r="G236" s="15" t="s">
        <v>43</v>
      </c>
      <c r="H236" s="15" t="s">
        <v>571</v>
      </c>
      <c r="I236" s="15" t="s">
        <v>571</v>
      </c>
      <c r="J236" s="16">
        <v>59000.0</v>
      </c>
      <c r="K236" s="16">
        <v>1.0</v>
      </c>
      <c r="L236" s="17">
        <v>45971.95434027778</v>
      </c>
      <c r="M236" s="17">
        <v>45973.66748842593</v>
      </c>
      <c r="N236" s="17">
        <v>45982.0</v>
      </c>
      <c r="O236" s="18"/>
      <c r="P236" s="18"/>
      <c r="Q236" s="18"/>
      <c r="R236" s="18"/>
      <c r="S236" s="18"/>
      <c r="T236" s="18"/>
      <c r="U236" s="18"/>
    </row>
    <row r="237">
      <c r="A237" s="14">
        <f t="shared" si="1"/>
        <v>45971</v>
      </c>
      <c r="B237" s="15" t="s">
        <v>170</v>
      </c>
      <c r="C237" s="15" t="s">
        <v>40</v>
      </c>
      <c r="D237" s="15" t="s">
        <v>572</v>
      </c>
      <c r="E237" s="16">
        <v>2.539320291E9</v>
      </c>
      <c r="F237" s="15" t="s">
        <v>42</v>
      </c>
      <c r="G237" s="15" t="s">
        <v>43</v>
      </c>
      <c r="H237" s="15" t="s">
        <v>573</v>
      </c>
      <c r="I237" s="15" t="s">
        <v>573</v>
      </c>
      <c r="J237" s="16">
        <v>59000.0</v>
      </c>
      <c r="K237" s="16">
        <v>1.0</v>
      </c>
      <c r="L237" s="17">
        <v>45971.94652777778</v>
      </c>
      <c r="M237" s="17">
        <v>45973.58341435185</v>
      </c>
      <c r="N237" s="17">
        <v>45981.09097222222</v>
      </c>
      <c r="O237" s="18"/>
      <c r="P237" s="18"/>
      <c r="Q237" s="18"/>
      <c r="R237" s="18"/>
      <c r="S237" s="18"/>
      <c r="T237" s="18"/>
      <c r="U237" s="18"/>
    </row>
    <row r="238">
      <c r="A238" s="14">
        <f t="shared" si="1"/>
        <v>45971</v>
      </c>
      <c r="B238" s="15" t="s">
        <v>170</v>
      </c>
      <c r="C238" s="15" t="s">
        <v>30</v>
      </c>
      <c r="D238" s="15" t="s">
        <v>574</v>
      </c>
      <c r="E238" s="16">
        <v>4.367464054E9</v>
      </c>
      <c r="F238" s="15">
        <v>4.180303895E9</v>
      </c>
      <c r="G238" s="15" t="s">
        <v>43</v>
      </c>
      <c r="H238" s="15" t="s">
        <v>575</v>
      </c>
      <c r="I238" s="15" t="s">
        <v>575</v>
      </c>
      <c r="J238" s="16">
        <v>59000.0</v>
      </c>
      <c r="K238" s="16">
        <v>1.0</v>
      </c>
      <c r="L238" s="17">
        <v>45971.89666666667</v>
      </c>
      <c r="M238" s="17">
        <v>45974.54923611111</v>
      </c>
      <c r="N238" s="17">
        <v>45985.0</v>
      </c>
      <c r="O238" s="18"/>
      <c r="P238" s="18"/>
      <c r="Q238" s="18"/>
      <c r="R238" s="18"/>
      <c r="S238" s="18"/>
      <c r="T238" s="18"/>
      <c r="U238" s="18"/>
    </row>
    <row r="239">
      <c r="A239" s="14">
        <f t="shared" si="1"/>
        <v>45971</v>
      </c>
      <c r="B239" s="15" t="s">
        <v>170</v>
      </c>
      <c r="C239" s="15" t="s">
        <v>30</v>
      </c>
      <c r="D239" s="15" t="s">
        <v>576</v>
      </c>
      <c r="E239" s="16">
        <v>4.367389656E9</v>
      </c>
      <c r="F239" s="15">
        <v>4.180303895E9</v>
      </c>
      <c r="G239" s="15" t="s">
        <v>43</v>
      </c>
      <c r="H239" s="15" t="s">
        <v>577</v>
      </c>
      <c r="I239" s="15" t="s">
        <v>578</v>
      </c>
      <c r="J239" s="16">
        <v>354000.0</v>
      </c>
      <c r="K239" s="16">
        <v>6.0</v>
      </c>
      <c r="L239" s="17">
        <v>45971.80820601852</v>
      </c>
      <c r="M239" s="17">
        <v>45974.68802083333</v>
      </c>
      <c r="N239" s="17">
        <v>45985.0</v>
      </c>
      <c r="O239" s="18"/>
      <c r="P239" s="18"/>
      <c r="Q239" s="18"/>
      <c r="R239" s="18"/>
      <c r="S239" s="18"/>
      <c r="T239" s="18"/>
      <c r="U239" s="18"/>
    </row>
    <row r="240">
      <c r="A240" s="14">
        <f t="shared" si="1"/>
        <v>45971</v>
      </c>
      <c r="B240" s="15" t="s">
        <v>170</v>
      </c>
      <c r="C240" s="15" t="s">
        <v>30</v>
      </c>
      <c r="D240" s="15" t="s">
        <v>576</v>
      </c>
      <c r="E240" s="16">
        <v>4.367389655E9</v>
      </c>
      <c r="F240" s="15">
        <v>4.180306338E9</v>
      </c>
      <c r="G240" s="15" t="s">
        <v>35</v>
      </c>
      <c r="H240" s="15" t="s">
        <v>577</v>
      </c>
      <c r="I240" s="15" t="s">
        <v>578</v>
      </c>
      <c r="J240" s="16">
        <v>65000.0</v>
      </c>
      <c r="K240" s="16">
        <v>1.0</v>
      </c>
      <c r="L240" s="17">
        <v>45971.80820601852</v>
      </c>
      <c r="M240" s="17">
        <v>45973.66748842593</v>
      </c>
      <c r="N240" s="17">
        <v>45982.0</v>
      </c>
      <c r="O240" s="18"/>
      <c r="P240" s="18"/>
      <c r="Q240" s="18"/>
      <c r="R240" s="18"/>
      <c r="S240" s="18"/>
      <c r="T240" s="18"/>
      <c r="U240" s="18"/>
    </row>
    <row r="241">
      <c r="A241" s="14">
        <f t="shared" si="1"/>
        <v>45971</v>
      </c>
      <c r="B241" s="15" t="s">
        <v>170</v>
      </c>
      <c r="C241" s="15" t="s">
        <v>30</v>
      </c>
      <c r="D241" s="15" t="s">
        <v>579</v>
      </c>
      <c r="E241" s="16">
        <v>4.367387615E9</v>
      </c>
      <c r="F241" s="15">
        <v>4.180303895E9</v>
      </c>
      <c r="G241" s="15" t="s">
        <v>43</v>
      </c>
      <c r="H241" s="15" t="s">
        <v>580</v>
      </c>
      <c r="I241" s="15" t="s">
        <v>580</v>
      </c>
      <c r="J241" s="16">
        <v>59000.0</v>
      </c>
      <c r="K241" s="16">
        <v>1.0</v>
      </c>
      <c r="L241" s="17">
        <v>45971.80515046296</v>
      </c>
      <c r="M241" s="17">
        <v>45973.66748842593</v>
      </c>
      <c r="N241" s="17">
        <v>45975.0</v>
      </c>
      <c r="O241" s="18"/>
      <c r="P241" s="18"/>
      <c r="Q241" s="18"/>
      <c r="R241" s="18"/>
      <c r="S241" s="18"/>
      <c r="T241" s="18"/>
      <c r="U241" s="18"/>
    </row>
    <row r="242">
      <c r="A242" s="14">
        <f t="shared" si="1"/>
        <v>45971</v>
      </c>
      <c r="B242" s="15" t="s">
        <v>170</v>
      </c>
      <c r="C242" s="15" t="s">
        <v>30</v>
      </c>
      <c r="D242" s="15" t="s">
        <v>581</v>
      </c>
      <c r="E242" s="16">
        <v>4.367385663E9</v>
      </c>
      <c r="F242" s="15">
        <v>4.544615334E9</v>
      </c>
      <c r="G242" s="15" t="s">
        <v>469</v>
      </c>
      <c r="H242" s="15" t="s">
        <v>582</v>
      </c>
      <c r="I242" s="15" t="s">
        <v>582</v>
      </c>
      <c r="J242" s="16">
        <v>65000.0</v>
      </c>
      <c r="K242" s="16">
        <v>1.0</v>
      </c>
      <c r="L242" s="17">
        <v>45971.802152777775</v>
      </c>
      <c r="M242" s="17">
        <v>45973.66748842593</v>
      </c>
      <c r="N242" s="17">
        <v>45982.0</v>
      </c>
      <c r="O242" s="18"/>
      <c r="P242" s="18"/>
      <c r="Q242" s="18"/>
      <c r="R242" s="18"/>
      <c r="S242" s="18"/>
      <c r="T242" s="18"/>
      <c r="U242" s="18"/>
    </row>
    <row r="243">
      <c r="A243" s="14">
        <f t="shared" si="1"/>
        <v>45971</v>
      </c>
      <c r="B243" s="15" t="s">
        <v>170</v>
      </c>
      <c r="C243" s="15" t="s">
        <v>40</v>
      </c>
      <c r="D243" s="15" t="s">
        <v>583</v>
      </c>
      <c r="E243" s="16">
        <v>2.539283518E9</v>
      </c>
      <c r="F243" s="15" t="s">
        <v>42</v>
      </c>
      <c r="G243" s="15" t="s">
        <v>43</v>
      </c>
      <c r="H243" s="15" t="s">
        <v>584</v>
      </c>
      <c r="I243" s="15" t="s">
        <v>584</v>
      </c>
      <c r="J243" s="16">
        <v>118000.0</v>
      </c>
      <c r="K243" s="16">
        <v>2.0</v>
      </c>
      <c r="L243" s="17">
        <v>45971.785416666666</v>
      </c>
      <c r="M243" s="17">
        <v>45973.59490740741</v>
      </c>
      <c r="N243" s="17">
        <v>45981.07777777778</v>
      </c>
      <c r="O243" s="18"/>
      <c r="P243" s="18"/>
      <c r="Q243" s="18"/>
      <c r="R243" s="18"/>
      <c r="S243" s="18"/>
      <c r="T243" s="18"/>
      <c r="U243" s="18"/>
    </row>
    <row r="244">
      <c r="A244" s="14">
        <f t="shared" si="1"/>
        <v>45971</v>
      </c>
      <c r="B244" s="15" t="s">
        <v>170</v>
      </c>
      <c r="C244" s="15" t="s">
        <v>30</v>
      </c>
      <c r="D244" s="15" t="s">
        <v>585</v>
      </c>
      <c r="E244" s="16">
        <v>4.367371433E9</v>
      </c>
      <c r="F244" s="15">
        <v>4.180306338E9</v>
      </c>
      <c r="G244" s="15" t="s">
        <v>35</v>
      </c>
      <c r="H244" s="15" t="s">
        <v>586</v>
      </c>
      <c r="I244" s="15" t="s">
        <v>586</v>
      </c>
      <c r="J244" s="16">
        <v>65000.0</v>
      </c>
      <c r="K244" s="16">
        <v>1.0</v>
      </c>
      <c r="L244" s="17">
        <v>45971.77920138889</v>
      </c>
      <c r="M244" s="17">
        <v>45973.58375</v>
      </c>
      <c r="N244" s="17">
        <v>45979.0</v>
      </c>
      <c r="O244" s="18"/>
      <c r="P244" s="18"/>
      <c r="Q244" s="18"/>
      <c r="R244" s="18"/>
      <c r="S244" s="18"/>
      <c r="T244" s="18"/>
      <c r="U244" s="18"/>
    </row>
    <row r="245">
      <c r="A245" s="14">
        <f t="shared" si="1"/>
        <v>45971</v>
      </c>
      <c r="B245" s="15" t="s">
        <v>170</v>
      </c>
      <c r="C245" s="15" t="s">
        <v>30</v>
      </c>
      <c r="D245" s="15" t="s">
        <v>587</v>
      </c>
      <c r="E245" s="16">
        <v>4.367352523E9</v>
      </c>
      <c r="F245" s="15">
        <v>4.180303895E9</v>
      </c>
      <c r="G245" s="15" t="s">
        <v>43</v>
      </c>
      <c r="H245" s="15" t="s">
        <v>588</v>
      </c>
      <c r="I245" s="15" t="s">
        <v>588</v>
      </c>
      <c r="J245" s="16">
        <v>118000.0</v>
      </c>
      <c r="K245" s="16">
        <v>2.0</v>
      </c>
      <c r="L245" s="17">
        <v>45971.74717592593</v>
      </c>
      <c r="M245" s="17">
        <v>45973.708958333336</v>
      </c>
      <c r="N245" s="17">
        <v>45982.0</v>
      </c>
      <c r="O245" s="18"/>
      <c r="P245" s="18"/>
      <c r="Q245" s="18"/>
      <c r="R245" s="18"/>
      <c r="S245" s="18"/>
      <c r="T245" s="18"/>
      <c r="U245" s="18"/>
    </row>
    <row r="246">
      <c r="A246" s="14">
        <f t="shared" si="1"/>
        <v>45971</v>
      </c>
      <c r="B246" s="15" t="s">
        <v>170</v>
      </c>
      <c r="C246" s="15" t="s">
        <v>30</v>
      </c>
      <c r="D246" s="15" t="s">
        <v>589</v>
      </c>
      <c r="E246" s="16">
        <v>4.367326167E9</v>
      </c>
      <c r="F246" s="15">
        <v>4.188494215E9</v>
      </c>
      <c r="G246" s="15" t="s">
        <v>38</v>
      </c>
      <c r="H246" s="15" t="s">
        <v>590</v>
      </c>
      <c r="I246" s="15" t="s">
        <v>591</v>
      </c>
      <c r="J246" s="16">
        <v>24900.0</v>
      </c>
      <c r="K246" s="16">
        <v>1.0</v>
      </c>
      <c r="L246" s="17">
        <v>45971.7087962963</v>
      </c>
      <c r="M246" s="17">
        <v>45973.64627314815</v>
      </c>
      <c r="N246" s="17">
        <v>45982.0</v>
      </c>
      <c r="O246" s="18"/>
      <c r="P246" s="18"/>
      <c r="Q246" s="18"/>
      <c r="R246" s="18"/>
      <c r="S246" s="18"/>
      <c r="T246" s="18"/>
      <c r="U246" s="18"/>
    </row>
    <row r="247">
      <c r="A247" s="14">
        <f t="shared" si="1"/>
        <v>45971</v>
      </c>
      <c r="B247" s="15" t="s">
        <v>170</v>
      </c>
      <c r="C247" s="15" t="s">
        <v>30</v>
      </c>
      <c r="D247" s="15" t="s">
        <v>592</v>
      </c>
      <c r="E247" s="16">
        <v>4.367271667E9</v>
      </c>
      <c r="F247" s="15">
        <v>4.180303895E9</v>
      </c>
      <c r="G247" s="15" t="s">
        <v>43</v>
      </c>
      <c r="H247" s="15" t="s">
        <v>593</v>
      </c>
      <c r="I247" s="15" t="s">
        <v>593</v>
      </c>
      <c r="J247" s="16">
        <v>59000.0</v>
      </c>
      <c r="K247" s="16">
        <v>1.0</v>
      </c>
      <c r="L247" s="17">
        <v>45971.646631944444</v>
      </c>
      <c r="M247" s="17">
        <v>45974.646678240744</v>
      </c>
      <c r="N247" s="17">
        <v>45985.0</v>
      </c>
      <c r="O247" s="18"/>
      <c r="P247" s="18"/>
      <c r="Q247" s="18"/>
      <c r="R247" s="18"/>
      <c r="S247" s="18"/>
      <c r="T247" s="18"/>
      <c r="U247" s="18"/>
    </row>
    <row r="248">
      <c r="A248" s="14">
        <f t="shared" si="1"/>
        <v>45971</v>
      </c>
      <c r="B248" s="15" t="s">
        <v>170</v>
      </c>
      <c r="C248" s="15" t="s">
        <v>30</v>
      </c>
      <c r="D248" s="15" t="s">
        <v>594</v>
      </c>
      <c r="E248" s="16">
        <v>4.367250401E9</v>
      </c>
      <c r="F248" s="15">
        <v>2.702301401E9</v>
      </c>
      <c r="G248" s="15" t="s">
        <v>81</v>
      </c>
      <c r="H248" s="15" t="s">
        <v>595</v>
      </c>
      <c r="I248" s="15" t="s">
        <v>595</v>
      </c>
      <c r="J248" s="16">
        <v>29900.0</v>
      </c>
      <c r="K248" s="16">
        <v>1.0</v>
      </c>
      <c r="L248" s="17">
        <v>45971.624085648145</v>
      </c>
      <c r="M248" s="17">
        <v>45972.88234953704</v>
      </c>
      <c r="N248" s="17">
        <v>45981.0</v>
      </c>
      <c r="O248" s="18"/>
      <c r="P248" s="18"/>
      <c r="Q248" s="18"/>
      <c r="R248" s="18"/>
      <c r="S248" s="18"/>
      <c r="T248" s="18"/>
      <c r="U248" s="18"/>
    </row>
    <row r="249">
      <c r="A249" s="14">
        <f t="shared" si="1"/>
        <v>45971</v>
      </c>
      <c r="B249" s="15" t="s">
        <v>170</v>
      </c>
      <c r="C249" s="15" t="s">
        <v>30</v>
      </c>
      <c r="D249" s="15" t="s">
        <v>596</v>
      </c>
      <c r="E249" s="16">
        <v>4.367208876E9</v>
      </c>
      <c r="F249" s="15">
        <v>4.180303895E9</v>
      </c>
      <c r="G249" s="15" t="s">
        <v>43</v>
      </c>
      <c r="H249" s="15" t="s">
        <v>597</v>
      </c>
      <c r="I249" s="15" t="s">
        <v>597</v>
      </c>
      <c r="J249" s="16">
        <v>59000.0</v>
      </c>
      <c r="K249" s="16">
        <v>1.0</v>
      </c>
      <c r="L249" s="17">
        <v>45971.58128472222</v>
      </c>
      <c r="M249" s="17">
        <v>45973.660219907404</v>
      </c>
      <c r="N249" s="17">
        <v>45974.0</v>
      </c>
      <c r="O249" s="18"/>
      <c r="P249" s="18"/>
      <c r="Q249" s="18"/>
      <c r="R249" s="18"/>
      <c r="S249" s="18"/>
      <c r="T249" s="18"/>
      <c r="U249" s="18"/>
    </row>
    <row r="250">
      <c r="A250" s="14">
        <f t="shared" si="1"/>
        <v>45971</v>
      </c>
      <c r="B250" s="15" t="s">
        <v>170</v>
      </c>
      <c r="C250" s="15" t="s">
        <v>40</v>
      </c>
      <c r="D250" s="15" t="s">
        <v>598</v>
      </c>
      <c r="E250" s="16">
        <v>2.53924057E9</v>
      </c>
      <c r="F250" s="15" t="s">
        <v>42</v>
      </c>
      <c r="G250" s="15" t="s">
        <v>43</v>
      </c>
      <c r="H250" s="15" t="s">
        <v>599</v>
      </c>
      <c r="I250" s="15" t="s">
        <v>599</v>
      </c>
      <c r="J250" s="16">
        <v>59000.0</v>
      </c>
      <c r="K250" s="16">
        <v>1.0</v>
      </c>
      <c r="L250" s="17">
        <v>45971.580555555556</v>
      </c>
      <c r="M250" s="17">
        <v>45974.60575231481</v>
      </c>
      <c r="N250" s="17">
        <v>45980.63125</v>
      </c>
      <c r="O250" s="18"/>
      <c r="P250" s="18"/>
      <c r="Q250" s="18"/>
      <c r="R250" s="18"/>
      <c r="S250" s="18"/>
      <c r="T250" s="18"/>
      <c r="U250" s="18"/>
    </row>
    <row r="251">
      <c r="A251" s="14">
        <f t="shared" si="1"/>
        <v>45971</v>
      </c>
      <c r="B251" s="15" t="s">
        <v>170</v>
      </c>
      <c r="C251" s="15" t="s">
        <v>30</v>
      </c>
      <c r="D251" s="15" t="s">
        <v>600</v>
      </c>
      <c r="E251" s="16">
        <v>4.367206112E9</v>
      </c>
      <c r="F251" s="15">
        <v>4.180303895E9</v>
      </c>
      <c r="G251" s="15" t="s">
        <v>43</v>
      </c>
      <c r="H251" s="15" t="s">
        <v>601</v>
      </c>
      <c r="I251" s="15" t="s">
        <v>601</v>
      </c>
      <c r="J251" s="16">
        <v>59000.0</v>
      </c>
      <c r="K251" s="16">
        <v>1.0</v>
      </c>
      <c r="L251" s="17">
        <v>45971.578576388885</v>
      </c>
      <c r="M251" s="17">
        <v>45973.708958333336</v>
      </c>
      <c r="N251" s="17">
        <v>45982.0</v>
      </c>
      <c r="O251" s="18"/>
      <c r="P251" s="18"/>
      <c r="Q251" s="18"/>
      <c r="R251" s="18"/>
      <c r="S251" s="18"/>
      <c r="T251" s="18"/>
      <c r="U251" s="18"/>
    </row>
    <row r="252">
      <c r="A252" s="14">
        <f t="shared" si="1"/>
        <v>45971</v>
      </c>
      <c r="B252" s="15" t="s">
        <v>170</v>
      </c>
      <c r="C252" s="15" t="s">
        <v>30</v>
      </c>
      <c r="D252" s="15" t="s">
        <v>602</v>
      </c>
      <c r="E252" s="16">
        <v>4.367190968E9</v>
      </c>
      <c r="F252" s="15">
        <v>4.180306338E9</v>
      </c>
      <c r="G252" s="15" t="s">
        <v>35</v>
      </c>
      <c r="H252" s="15" t="s">
        <v>603</v>
      </c>
      <c r="I252" s="15" t="s">
        <v>604</v>
      </c>
      <c r="J252" s="16">
        <v>65000.0</v>
      </c>
      <c r="K252" s="16">
        <v>1.0</v>
      </c>
      <c r="L252" s="17">
        <v>45971.56622685185</v>
      </c>
      <c r="M252" s="17">
        <v>45972.75765046296</v>
      </c>
      <c r="N252" s="17">
        <v>45981.0</v>
      </c>
      <c r="O252" s="18"/>
      <c r="P252" s="18"/>
      <c r="Q252" s="18"/>
      <c r="R252" s="18"/>
      <c r="S252" s="18"/>
      <c r="T252" s="18"/>
      <c r="U252" s="18"/>
    </row>
    <row r="253">
      <c r="A253" s="14">
        <f t="shared" si="1"/>
        <v>45971</v>
      </c>
      <c r="B253" s="15" t="s">
        <v>170</v>
      </c>
      <c r="C253" s="15" t="s">
        <v>30</v>
      </c>
      <c r="D253" s="15" t="s">
        <v>605</v>
      </c>
      <c r="E253" s="16">
        <v>4.36714482E9</v>
      </c>
      <c r="F253" s="15">
        <v>4.180303895E9</v>
      </c>
      <c r="G253" s="15" t="s">
        <v>43</v>
      </c>
      <c r="H253" s="15" t="s">
        <v>606</v>
      </c>
      <c r="I253" s="15" t="s">
        <v>606</v>
      </c>
      <c r="J253" s="16">
        <v>59000.0</v>
      </c>
      <c r="K253" s="16">
        <v>1.0</v>
      </c>
      <c r="L253" s="17">
        <v>45971.52384259259</v>
      </c>
      <c r="M253" s="17">
        <v>45972.681296296294</v>
      </c>
      <c r="N253" s="17">
        <v>45981.0</v>
      </c>
      <c r="O253" s="18"/>
      <c r="P253" s="18"/>
      <c r="Q253" s="18"/>
      <c r="R253" s="18"/>
      <c r="S253" s="18"/>
      <c r="T253" s="18"/>
      <c r="U253" s="18"/>
    </row>
    <row r="254">
      <c r="A254" s="14">
        <f t="shared" si="1"/>
        <v>45971</v>
      </c>
      <c r="B254" s="15" t="s">
        <v>170</v>
      </c>
      <c r="C254" s="15" t="s">
        <v>30</v>
      </c>
      <c r="D254" s="15" t="s">
        <v>607</v>
      </c>
      <c r="E254" s="16">
        <v>4.367104771E9</v>
      </c>
      <c r="F254" s="15">
        <v>3.351572582E9</v>
      </c>
      <c r="G254" s="15" t="s">
        <v>182</v>
      </c>
      <c r="H254" s="15" t="s">
        <v>608</v>
      </c>
      <c r="I254" s="15" t="s">
        <v>608</v>
      </c>
      <c r="J254" s="16">
        <v>79000.0</v>
      </c>
      <c r="K254" s="16">
        <v>1.0</v>
      </c>
      <c r="L254" s="17">
        <v>45971.49184027778</v>
      </c>
      <c r="M254" s="17">
        <v>45973.78513888889</v>
      </c>
      <c r="N254" s="17">
        <v>45982.0</v>
      </c>
      <c r="O254" s="18"/>
      <c r="P254" s="18"/>
      <c r="Q254" s="18"/>
      <c r="R254" s="18"/>
      <c r="S254" s="18"/>
      <c r="T254" s="18"/>
      <c r="U254" s="18"/>
    </row>
    <row r="255">
      <c r="A255" s="14">
        <f t="shared" si="1"/>
        <v>45971</v>
      </c>
      <c r="B255" s="15" t="s">
        <v>170</v>
      </c>
      <c r="C255" s="15" t="s">
        <v>30</v>
      </c>
      <c r="D255" s="15" t="s">
        <v>609</v>
      </c>
      <c r="E255" s="16">
        <v>4.367092702E9</v>
      </c>
      <c r="F255" s="15">
        <v>4.180303895E9</v>
      </c>
      <c r="G255" s="15" t="s">
        <v>43</v>
      </c>
      <c r="H255" s="15" t="s">
        <v>610</v>
      </c>
      <c r="I255" s="15" t="s">
        <v>610</v>
      </c>
      <c r="J255" s="16">
        <v>118000.0</v>
      </c>
      <c r="K255" s="16">
        <v>2.0</v>
      </c>
      <c r="L255" s="17">
        <v>45971.48297453704</v>
      </c>
      <c r="M255" s="17">
        <v>45972.46570601852</v>
      </c>
      <c r="N255" s="17">
        <v>45973.0</v>
      </c>
      <c r="O255" s="18"/>
      <c r="P255" s="18"/>
      <c r="Q255" s="18"/>
      <c r="R255" s="18"/>
      <c r="S255" s="18"/>
      <c r="T255" s="18"/>
      <c r="U255" s="18"/>
    </row>
    <row r="256">
      <c r="A256" s="14">
        <f t="shared" si="1"/>
        <v>45971</v>
      </c>
      <c r="B256" s="15" t="s">
        <v>170</v>
      </c>
      <c r="C256" s="15" t="s">
        <v>30</v>
      </c>
      <c r="D256" s="15" t="s">
        <v>611</v>
      </c>
      <c r="E256" s="16">
        <v>4.367065982E9</v>
      </c>
      <c r="F256" s="15">
        <v>3.357826627E9</v>
      </c>
      <c r="G256" s="15" t="s">
        <v>612</v>
      </c>
      <c r="H256" s="15" t="s">
        <v>613</v>
      </c>
      <c r="I256" s="15" t="s">
        <v>613</v>
      </c>
      <c r="J256" s="16">
        <v>29900.0</v>
      </c>
      <c r="K256" s="16">
        <v>1.0</v>
      </c>
      <c r="L256" s="17">
        <v>45971.458078703705</v>
      </c>
      <c r="M256" s="17">
        <v>45972.854537037034</v>
      </c>
      <c r="N256" s="17">
        <v>45974.0</v>
      </c>
      <c r="O256" s="18"/>
      <c r="P256" s="18"/>
      <c r="Q256" s="18"/>
      <c r="R256" s="18"/>
      <c r="S256" s="18"/>
      <c r="T256" s="18"/>
      <c r="U256" s="18"/>
    </row>
    <row r="257">
      <c r="A257" s="14">
        <f t="shared" si="1"/>
        <v>45971</v>
      </c>
      <c r="B257" s="15" t="s">
        <v>170</v>
      </c>
      <c r="C257" s="15" t="s">
        <v>30</v>
      </c>
      <c r="D257" s="15" t="s">
        <v>614</v>
      </c>
      <c r="E257" s="16">
        <v>4.367057359E9</v>
      </c>
      <c r="F257" s="15">
        <v>4.188494215E9</v>
      </c>
      <c r="G257" s="15" t="s">
        <v>38</v>
      </c>
      <c r="H257" s="15" t="s">
        <v>614</v>
      </c>
      <c r="I257" s="15" t="s">
        <v>615</v>
      </c>
      <c r="J257" s="16">
        <v>24900.0</v>
      </c>
      <c r="K257" s="16">
        <v>1.0</v>
      </c>
      <c r="L257" s="17">
        <v>45971.449224537035</v>
      </c>
      <c r="M257" s="17">
        <v>45972.52118055556</v>
      </c>
      <c r="N257" s="17">
        <v>45981.0</v>
      </c>
      <c r="O257" s="18"/>
      <c r="P257" s="18"/>
      <c r="Q257" s="18"/>
      <c r="R257" s="18"/>
      <c r="S257" s="18"/>
      <c r="T257" s="18"/>
      <c r="U257" s="18"/>
    </row>
    <row r="258">
      <c r="A258" s="14">
        <f t="shared" si="1"/>
        <v>45971</v>
      </c>
      <c r="B258" s="15" t="s">
        <v>170</v>
      </c>
      <c r="C258" s="15" t="s">
        <v>30</v>
      </c>
      <c r="D258" s="15" t="s">
        <v>616</v>
      </c>
      <c r="E258" s="16">
        <v>4.367013082E9</v>
      </c>
      <c r="F258" s="15">
        <v>4.180303895E9</v>
      </c>
      <c r="G258" s="15" t="s">
        <v>43</v>
      </c>
      <c r="H258" s="15" t="s">
        <v>617</v>
      </c>
      <c r="I258" s="15" t="s">
        <v>617</v>
      </c>
      <c r="J258" s="16">
        <v>118000.0</v>
      </c>
      <c r="K258" s="16">
        <v>2.0</v>
      </c>
      <c r="L258" s="17">
        <v>45971.40042824074</v>
      </c>
      <c r="M258" s="17">
        <v>45972.645578703705</v>
      </c>
      <c r="N258" s="17">
        <v>45973.0</v>
      </c>
      <c r="O258" s="18"/>
      <c r="P258" s="18"/>
      <c r="Q258" s="18"/>
      <c r="R258" s="18"/>
      <c r="S258" s="18"/>
      <c r="T258" s="18"/>
      <c r="U258" s="18"/>
    </row>
    <row r="259">
      <c r="A259" s="14">
        <f t="shared" si="1"/>
        <v>45971</v>
      </c>
      <c r="B259" s="15" t="s">
        <v>290</v>
      </c>
      <c r="C259" s="15" t="s">
        <v>30</v>
      </c>
      <c r="D259" s="15" t="s">
        <v>618</v>
      </c>
      <c r="E259" s="16">
        <v>4.366984419E9</v>
      </c>
      <c r="F259" s="15">
        <v>4.546798282E9</v>
      </c>
      <c r="G259" s="15" t="s">
        <v>135</v>
      </c>
      <c r="H259" s="15" t="s">
        <v>619</v>
      </c>
      <c r="I259" s="15" t="s">
        <v>619</v>
      </c>
      <c r="J259" s="16">
        <v>109000.0</v>
      </c>
      <c r="K259" s="16">
        <v>1.0</v>
      </c>
      <c r="L259" s="17">
        <v>45971.36001157408</v>
      </c>
      <c r="M259" s="20"/>
      <c r="N259" s="20"/>
      <c r="O259" s="18"/>
      <c r="P259" s="18"/>
      <c r="Q259" s="18"/>
      <c r="R259" s="18"/>
      <c r="S259" s="18"/>
      <c r="T259" s="18"/>
      <c r="U259" s="18"/>
    </row>
    <row r="260">
      <c r="A260" s="14">
        <f t="shared" si="1"/>
        <v>45971</v>
      </c>
      <c r="B260" s="15" t="s">
        <v>170</v>
      </c>
      <c r="C260" s="15" t="s">
        <v>30</v>
      </c>
      <c r="D260" s="15" t="s">
        <v>620</v>
      </c>
      <c r="E260" s="16">
        <v>4.366946588E9</v>
      </c>
      <c r="F260" s="15">
        <v>4.547685725E9</v>
      </c>
      <c r="G260" s="15" t="s">
        <v>236</v>
      </c>
      <c r="H260" s="15" t="s">
        <v>621</v>
      </c>
      <c r="I260" s="15" t="s">
        <v>622</v>
      </c>
      <c r="J260" s="16">
        <v>119000.0</v>
      </c>
      <c r="K260" s="16">
        <v>1.0</v>
      </c>
      <c r="L260" s="17">
        <v>45971.165358796294</v>
      </c>
      <c r="M260" s="17">
        <v>45975.6671875</v>
      </c>
      <c r="N260" s="17">
        <v>45985.0</v>
      </c>
      <c r="O260" s="18"/>
      <c r="P260" s="18"/>
      <c r="Q260" s="18"/>
      <c r="R260" s="18"/>
      <c r="S260" s="18"/>
      <c r="T260" s="18"/>
      <c r="U260" s="18"/>
    </row>
    <row r="261">
      <c r="A261" s="14">
        <f t="shared" si="1"/>
        <v>45971</v>
      </c>
      <c r="B261" s="15" t="s">
        <v>170</v>
      </c>
      <c r="C261" s="15" t="s">
        <v>30</v>
      </c>
      <c r="D261" s="15" t="s">
        <v>623</v>
      </c>
      <c r="E261" s="16">
        <v>4.36693775E9</v>
      </c>
      <c r="F261" s="15">
        <v>2.702301401E9</v>
      </c>
      <c r="G261" s="15" t="s">
        <v>81</v>
      </c>
      <c r="H261" s="15" t="s">
        <v>624</v>
      </c>
      <c r="I261" s="15" t="s">
        <v>624</v>
      </c>
      <c r="J261" s="16">
        <v>29900.0</v>
      </c>
      <c r="K261" s="16">
        <v>1.0</v>
      </c>
      <c r="L261" s="17">
        <v>45971.08642361111</v>
      </c>
      <c r="M261" s="17">
        <v>45973.02814814815</v>
      </c>
      <c r="N261" s="17">
        <v>45982.0</v>
      </c>
      <c r="O261" s="18"/>
      <c r="P261" s="18"/>
      <c r="Q261" s="18"/>
      <c r="R261" s="18"/>
      <c r="S261" s="18"/>
      <c r="T261" s="18"/>
      <c r="U261" s="18"/>
    </row>
    <row r="262">
      <c r="A262" s="14">
        <f t="shared" si="1"/>
        <v>45971</v>
      </c>
      <c r="B262" s="15" t="s">
        <v>170</v>
      </c>
      <c r="C262" s="15" t="s">
        <v>30</v>
      </c>
      <c r="D262" s="15" t="s">
        <v>625</v>
      </c>
      <c r="E262" s="16">
        <v>4.366934527E9</v>
      </c>
      <c r="F262" s="15">
        <v>4.180303895E9</v>
      </c>
      <c r="G262" s="15" t="s">
        <v>43</v>
      </c>
      <c r="H262" s="15" t="s">
        <v>626</v>
      </c>
      <c r="I262" s="15" t="s">
        <v>626</v>
      </c>
      <c r="J262" s="16">
        <v>59000.0</v>
      </c>
      <c r="K262" s="16">
        <v>1.0</v>
      </c>
      <c r="L262" s="17">
        <v>45971.06914351852</v>
      </c>
      <c r="M262" s="17">
        <v>45972.61877314815</v>
      </c>
      <c r="N262" s="17">
        <v>45981.0</v>
      </c>
      <c r="O262" s="18"/>
      <c r="P262" s="18"/>
      <c r="Q262" s="18"/>
      <c r="R262" s="18"/>
      <c r="S262" s="18"/>
      <c r="T262" s="18"/>
      <c r="U262" s="18"/>
    </row>
    <row r="263">
      <c r="A263" s="14">
        <f t="shared" si="1"/>
        <v>45971</v>
      </c>
      <c r="B263" s="15" t="s">
        <v>170</v>
      </c>
      <c r="C263" s="15" t="s">
        <v>30</v>
      </c>
      <c r="D263" s="15" t="s">
        <v>627</v>
      </c>
      <c r="E263" s="16">
        <v>4.366933687E9</v>
      </c>
      <c r="F263" s="15">
        <v>4.180303895E9</v>
      </c>
      <c r="G263" s="15" t="s">
        <v>43</v>
      </c>
      <c r="H263" s="15" t="s">
        <v>628</v>
      </c>
      <c r="I263" s="15" t="s">
        <v>628</v>
      </c>
      <c r="J263" s="16">
        <v>59000.0</v>
      </c>
      <c r="K263" s="16">
        <v>1.0</v>
      </c>
      <c r="L263" s="17">
        <v>45971.06554398148</v>
      </c>
      <c r="M263" s="17">
        <v>45972.368738425925</v>
      </c>
      <c r="N263" s="17">
        <v>45973.0</v>
      </c>
      <c r="O263" s="18"/>
      <c r="P263" s="18"/>
      <c r="Q263" s="18"/>
      <c r="R263" s="18"/>
      <c r="S263" s="18"/>
      <c r="T263" s="18"/>
      <c r="U263" s="18"/>
    </row>
    <row r="264">
      <c r="A264" s="14">
        <f t="shared" si="1"/>
        <v>45971</v>
      </c>
      <c r="B264" s="15" t="s">
        <v>47</v>
      </c>
      <c r="C264" s="15" t="s">
        <v>30</v>
      </c>
      <c r="D264" s="15" t="s">
        <v>618</v>
      </c>
      <c r="E264" s="16">
        <v>4.366932933E9</v>
      </c>
      <c r="F264" s="15">
        <v>4.546798282E9</v>
      </c>
      <c r="G264" s="15" t="s">
        <v>135</v>
      </c>
      <c r="H264" s="15" t="s">
        <v>619</v>
      </c>
      <c r="I264" s="15" t="s">
        <v>619</v>
      </c>
      <c r="J264" s="16">
        <v>109000.0</v>
      </c>
      <c r="K264" s="16">
        <v>1.0</v>
      </c>
      <c r="L264" s="17">
        <v>45971.06201388889</v>
      </c>
      <c r="M264" s="20"/>
      <c r="N264" s="20"/>
      <c r="O264" s="18"/>
      <c r="P264" s="18"/>
      <c r="Q264" s="18"/>
      <c r="R264" s="18"/>
      <c r="S264" s="18"/>
      <c r="T264" s="18"/>
      <c r="U264" s="18"/>
    </row>
    <row r="265">
      <c r="A265" s="14">
        <f t="shared" si="1"/>
        <v>45970</v>
      </c>
      <c r="B265" s="15" t="s">
        <v>170</v>
      </c>
      <c r="C265" s="15" t="s">
        <v>30</v>
      </c>
      <c r="D265" s="15" t="s">
        <v>629</v>
      </c>
      <c r="E265" s="16">
        <v>4.366890848E9</v>
      </c>
      <c r="F265" s="15">
        <v>4.180303895E9</v>
      </c>
      <c r="G265" s="15" t="s">
        <v>43</v>
      </c>
      <c r="H265" s="15" t="s">
        <v>630</v>
      </c>
      <c r="I265" s="15" t="s">
        <v>630</v>
      </c>
      <c r="J265" s="16">
        <v>59000.0</v>
      </c>
      <c r="K265" s="16">
        <v>1.0</v>
      </c>
      <c r="L265" s="17">
        <v>45970.97704861111</v>
      </c>
      <c r="M265" s="17">
        <v>45972.64627314815</v>
      </c>
      <c r="N265" s="17">
        <v>45981.0</v>
      </c>
      <c r="O265" s="18"/>
      <c r="P265" s="18"/>
      <c r="Q265" s="18"/>
      <c r="R265" s="18"/>
      <c r="S265" s="18"/>
      <c r="T265" s="18"/>
      <c r="U265" s="18"/>
    </row>
    <row r="266">
      <c r="A266" s="14">
        <f t="shared" si="1"/>
        <v>45970</v>
      </c>
      <c r="B266" s="15" t="s">
        <v>170</v>
      </c>
      <c r="C266" s="15" t="s">
        <v>40</v>
      </c>
      <c r="D266" s="15" t="s">
        <v>631</v>
      </c>
      <c r="E266" s="16">
        <v>2.539162181E9</v>
      </c>
      <c r="F266" s="15" t="s">
        <v>226</v>
      </c>
      <c r="G266" s="15" t="s">
        <v>35</v>
      </c>
      <c r="H266" s="15" t="s">
        <v>632</v>
      </c>
      <c r="I266" s="15" t="s">
        <v>632</v>
      </c>
      <c r="J266" s="16">
        <v>195000.0</v>
      </c>
      <c r="K266" s="16">
        <v>3.0</v>
      </c>
      <c r="L266" s="17">
        <v>45970.975694444445</v>
      </c>
      <c r="M266" s="17">
        <v>45972.485914351855</v>
      </c>
      <c r="N266" s="17">
        <v>45980.14097222222</v>
      </c>
      <c r="O266" s="18"/>
      <c r="P266" s="18"/>
      <c r="Q266" s="18"/>
      <c r="R266" s="18"/>
      <c r="S266" s="18"/>
      <c r="T266" s="18"/>
      <c r="U266" s="18"/>
    </row>
    <row r="267">
      <c r="A267" s="14">
        <f t="shared" si="1"/>
        <v>45970</v>
      </c>
      <c r="B267" s="15" t="s">
        <v>170</v>
      </c>
      <c r="C267" s="15" t="s">
        <v>40</v>
      </c>
      <c r="D267" s="15" t="s">
        <v>633</v>
      </c>
      <c r="E267" s="16">
        <v>2.539158935E9</v>
      </c>
      <c r="F267" s="15" t="s">
        <v>42</v>
      </c>
      <c r="G267" s="15" t="s">
        <v>43</v>
      </c>
      <c r="H267" s="15" t="s">
        <v>634</v>
      </c>
      <c r="I267" s="15" t="s">
        <v>634</v>
      </c>
      <c r="J267" s="16">
        <v>59000.0</v>
      </c>
      <c r="K267" s="16">
        <v>1.0</v>
      </c>
      <c r="L267" s="17">
        <v>45970.96041666667</v>
      </c>
      <c r="M267" s="17">
        <v>45972.71375</v>
      </c>
      <c r="N267" s="17">
        <v>45974.15833333333</v>
      </c>
      <c r="O267" s="18"/>
      <c r="P267" s="18"/>
      <c r="Q267" s="18"/>
      <c r="R267" s="18"/>
      <c r="S267" s="18"/>
      <c r="T267" s="18"/>
      <c r="U267" s="18"/>
    </row>
    <row r="268">
      <c r="A268" s="14">
        <f t="shared" si="1"/>
        <v>45970</v>
      </c>
      <c r="B268" s="15" t="s">
        <v>47</v>
      </c>
      <c r="C268" s="15" t="s">
        <v>30</v>
      </c>
      <c r="D268" s="15" t="s">
        <v>635</v>
      </c>
      <c r="E268" s="16">
        <v>4.366873059E9</v>
      </c>
      <c r="F268" s="15">
        <v>4.180303895E9</v>
      </c>
      <c r="G268" s="15" t="s">
        <v>43</v>
      </c>
      <c r="H268" s="15" t="s">
        <v>636</v>
      </c>
      <c r="I268" s="15" t="s">
        <v>636</v>
      </c>
      <c r="J268" s="16">
        <v>59000.0</v>
      </c>
      <c r="K268" s="16">
        <v>1.0</v>
      </c>
      <c r="L268" s="17">
        <v>45970.95513888889</v>
      </c>
      <c r="M268" s="20"/>
      <c r="N268" s="20"/>
      <c r="O268" s="18"/>
      <c r="P268" s="18"/>
      <c r="Q268" s="18"/>
      <c r="R268" s="18"/>
      <c r="S268" s="18"/>
      <c r="T268" s="18"/>
      <c r="U268" s="18"/>
    </row>
    <row r="269">
      <c r="A269" s="14">
        <f t="shared" si="1"/>
        <v>45970</v>
      </c>
      <c r="B269" s="15" t="s">
        <v>170</v>
      </c>
      <c r="C269" s="15" t="s">
        <v>30</v>
      </c>
      <c r="D269" s="15" t="s">
        <v>637</v>
      </c>
      <c r="E269" s="16">
        <v>4.366856715E9</v>
      </c>
      <c r="F269" s="15">
        <v>4.544669778E9</v>
      </c>
      <c r="G269" s="15" t="s">
        <v>638</v>
      </c>
      <c r="H269" s="15" t="s">
        <v>626</v>
      </c>
      <c r="I269" s="15" t="s">
        <v>626</v>
      </c>
      <c r="J269" s="16">
        <v>109000.0</v>
      </c>
      <c r="K269" s="16">
        <v>1.0</v>
      </c>
      <c r="L269" s="17">
        <v>45970.935011574074</v>
      </c>
      <c r="M269" s="17">
        <v>45972.70894675926</v>
      </c>
      <c r="N269" s="17">
        <v>45981.0</v>
      </c>
      <c r="O269" s="18"/>
      <c r="P269" s="18"/>
      <c r="Q269" s="18"/>
      <c r="R269" s="18"/>
      <c r="S269" s="18"/>
      <c r="T269" s="18"/>
      <c r="U269" s="18"/>
    </row>
    <row r="270">
      <c r="A270" s="14">
        <f t="shared" si="1"/>
        <v>45970</v>
      </c>
      <c r="B270" s="15" t="s">
        <v>170</v>
      </c>
      <c r="C270" s="15" t="s">
        <v>30</v>
      </c>
      <c r="D270" s="15" t="s">
        <v>639</v>
      </c>
      <c r="E270" s="16">
        <v>4.36685649E9</v>
      </c>
      <c r="F270" s="15">
        <v>4.544699629E9</v>
      </c>
      <c r="G270" s="15" t="s">
        <v>212</v>
      </c>
      <c r="H270" s="15" t="s">
        <v>640</v>
      </c>
      <c r="I270" s="15" t="s">
        <v>640</v>
      </c>
      <c r="J270" s="16">
        <v>145000.0</v>
      </c>
      <c r="K270" s="16">
        <v>1.0</v>
      </c>
      <c r="L270" s="17">
        <v>45970.9347337963</v>
      </c>
      <c r="M270" s="17">
        <v>45973.75056712963</v>
      </c>
      <c r="N270" s="17">
        <v>45982.0</v>
      </c>
      <c r="O270" s="18"/>
      <c r="P270" s="18"/>
      <c r="Q270" s="18"/>
      <c r="R270" s="18"/>
      <c r="S270" s="18"/>
      <c r="T270" s="18"/>
      <c r="U270" s="18"/>
    </row>
    <row r="271">
      <c r="A271" s="14">
        <f t="shared" si="1"/>
        <v>45970</v>
      </c>
      <c r="B271" s="15" t="s">
        <v>170</v>
      </c>
      <c r="C271" s="15" t="s">
        <v>30</v>
      </c>
      <c r="D271" s="15" t="s">
        <v>641</v>
      </c>
      <c r="E271" s="16">
        <v>4.366850522E9</v>
      </c>
      <c r="F271" s="15">
        <v>4.180303895E9</v>
      </c>
      <c r="G271" s="15" t="s">
        <v>43</v>
      </c>
      <c r="H271" s="15" t="s">
        <v>642</v>
      </c>
      <c r="I271" s="15" t="s">
        <v>642</v>
      </c>
      <c r="J271" s="16">
        <v>59000.0</v>
      </c>
      <c r="K271" s="16">
        <v>1.0</v>
      </c>
      <c r="L271" s="17">
        <v>45970.927256944444</v>
      </c>
      <c r="M271" s="17">
        <v>45972.63261574074</v>
      </c>
      <c r="N271" s="17">
        <v>45981.0</v>
      </c>
      <c r="O271" s="18"/>
      <c r="P271" s="18"/>
      <c r="Q271" s="18"/>
      <c r="R271" s="18"/>
      <c r="S271" s="18"/>
      <c r="T271" s="18"/>
      <c r="U271" s="18"/>
    </row>
    <row r="272">
      <c r="A272" s="14">
        <f t="shared" si="1"/>
        <v>45970</v>
      </c>
      <c r="B272" s="15" t="s">
        <v>170</v>
      </c>
      <c r="C272" s="15" t="s">
        <v>30</v>
      </c>
      <c r="D272" s="15" t="s">
        <v>643</v>
      </c>
      <c r="E272" s="16">
        <v>4.36685028E9</v>
      </c>
      <c r="F272" s="15">
        <v>4.180303895E9</v>
      </c>
      <c r="G272" s="15" t="s">
        <v>43</v>
      </c>
      <c r="H272" s="15" t="s">
        <v>644</v>
      </c>
      <c r="I272" s="15" t="s">
        <v>644</v>
      </c>
      <c r="J272" s="16">
        <v>59000.0</v>
      </c>
      <c r="K272" s="16">
        <v>1.0</v>
      </c>
      <c r="L272" s="17">
        <v>45970.9269212963</v>
      </c>
      <c r="M272" s="17">
        <v>45972.423993055556</v>
      </c>
      <c r="N272" s="17">
        <v>45973.0</v>
      </c>
      <c r="O272" s="18"/>
      <c r="P272" s="18"/>
      <c r="Q272" s="18"/>
      <c r="R272" s="18"/>
      <c r="S272" s="18"/>
      <c r="T272" s="18"/>
      <c r="U272" s="18"/>
    </row>
    <row r="273">
      <c r="A273" s="14">
        <f t="shared" si="1"/>
        <v>45970</v>
      </c>
      <c r="B273" s="15" t="s">
        <v>170</v>
      </c>
      <c r="C273" s="15" t="s">
        <v>30</v>
      </c>
      <c r="D273" s="15" t="s">
        <v>645</v>
      </c>
      <c r="E273" s="16">
        <v>4.366801746E9</v>
      </c>
      <c r="F273" s="15">
        <v>4.180303895E9</v>
      </c>
      <c r="G273" s="15" t="s">
        <v>43</v>
      </c>
      <c r="H273" s="15" t="s">
        <v>646</v>
      </c>
      <c r="I273" s="15" t="s">
        <v>646</v>
      </c>
      <c r="J273" s="16">
        <v>118000.0</v>
      </c>
      <c r="K273" s="16">
        <v>2.0</v>
      </c>
      <c r="L273" s="17">
        <v>45970.865532407406</v>
      </c>
      <c r="M273" s="17">
        <v>45972.709027777775</v>
      </c>
      <c r="N273" s="17">
        <v>45981.0</v>
      </c>
      <c r="O273" s="18"/>
      <c r="P273" s="18"/>
      <c r="Q273" s="18"/>
      <c r="R273" s="18"/>
      <c r="S273" s="18"/>
      <c r="T273" s="18"/>
      <c r="U273" s="18"/>
    </row>
    <row r="274">
      <c r="A274" s="14">
        <f t="shared" si="1"/>
        <v>45970</v>
      </c>
      <c r="B274" s="15" t="s">
        <v>170</v>
      </c>
      <c r="C274" s="15" t="s">
        <v>30</v>
      </c>
      <c r="D274" s="15" t="s">
        <v>647</v>
      </c>
      <c r="E274" s="16">
        <v>4.366773863E9</v>
      </c>
      <c r="F274" s="15">
        <v>4.544683185E9</v>
      </c>
      <c r="G274" s="15" t="s">
        <v>564</v>
      </c>
      <c r="H274" s="15" t="s">
        <v>648</v>
      </c>
      <c r="I274" s="15" t="s">
        <v>649</v>
      </c>
      <c r="J274" s="16">
        <v>119000.0</v>
      </c>
      <c r="K274" s="16">
        <v>1.0</v>
      </c>
      <c r="L274" s="17">
        <v>45970.82555555556</v>
      </c>
      <c r="M274" s="17">
        <v>45972.65342592593</v>
      </c>
      <c r="N274" s="17">
        <v>45981.0</v>
      </c>
      <c r="O274" s="18"/>
      <c r="P274" s="18"/>
      <c r="Q274" s="18"/>
      <c r="R274" s="18"/>
      <c r="S274" s="18"/>
      <c r="T274" s="18"/>
      <c r="U274" s="18"/>
    </row>
    <row r="275">
      <c r="A275" s="14">
        <f t="shared" si="1"/>
        <v>45970</v>
      </c>
      <c r="B275" s="15" t="s">
        <v>170</v>
      </c>
      <c r="C275" s="15" t="s">
        <v>30</v>
      </c>
      <c r="D275" s="15" t="s">
        <v>650</v>
      </c>
      <c r="E275" s="16">
        <v>4.366751447E9</v>
      </c>
      <c r="F275" s="15">
        <v>3.51024234E9</v>
      </c>
      <c r="G275" s="15" t="s">
        <v>96</v>
      </c>
      <c r="H275" s="15" t="s">
        <v>651</v>
      </c>
      <c r="I275" s="15" t="s">
        <v>651</v>
      </c>
      <c r="J275" s="16">
        <v>19900.0</v>
      </c>
      <c r="K275" s="16">
        <v>1.0</v>
      </c>
      <c r="L275" s="17">
        <v>45970.78774305555</v>
      </c>
      <c r="M275" s="17">
        <v>45972.79201388889</v>
      </c>
      <c r="N275" s="17">
        <v>45981.0</v>
      </c>
      <c r="O275" s="18"/>
      <c r="P275" s="18"/>
      <c r="Q275" s="18"/>
      <c r="R275" s="18"/>
      <c r="S275" s="18"/>
      <c r="T275" s="18"/>
      <c r="U275" s="18"/>
    </row>
    <row r="276">
      <c r="A276" s="14">
        <f t="shared" si="1"/>
        <v>45970</v>
      </c>
      <c r="B276" s="15" t="s">
        <v>170</v>
      </c>
      <c r="C276" s="15" t="s">
        <v>30</v>
      </c>
      <c r="D276" s="15" t="s">
        <v>652</v>
      </c>
      <c r="E276" s="16">
        <v>4.366748622E9</v>
      </c>
      <c r="F276" s="15">
        <v>4.188494215E9</v>
      </c>
      <c r="G276" s="15" t="s">
        <v>38</v>
      </c>
      <c r="H276" s="15" t="s">
        <v>653</v>
      </c>
      <c r="I276" s="15" t="s">
        <v>653</v>
      </c>
      <c r="J276" s="16">
        <v>24900.0</v>
      </c>
      <c r="K276" s="16">
        <v>1.0</v>
      </c>
      <c r="L276" s="17">
        <v>45970.78251157407</v>
      </c>
      <c r="M276" s="17">
        <v>45972.743576388886</v>
      </c>
      <c r="N276" s="17">
        <v>45981.0</v>
      </c>
      <c r="O276" s="18"/>
      <c r="P276" s="18"/>
      <c r="Q276" s="18"/>
      <c r="R276" s="18"/>
      <c r="S276" s="18"/>
      <c r="T276" s="18"/>
      <c r="U276" s="18"/>
    </row>
    <row r="277">
      <c r="A277" s="14">
        <f t="shared" si="1"/>
        <v>45970</v>
      </c>
      <c r="B277" s="15" t="s">
        <v>170</v>
      </c>
      <c r="C277" s="15" t="s">
        <v>30</v>
      </c>
      <c r="D277" s="15" t="s">
        <v>654</v>
      </c>
      <c r="E277" s="16">
        <v>4.366735949E9</v>
      </c>
      <c r="F277" s="15">
        <v>4.180303895E9</v>
      </c>
      <c r="G277" s="15" t="s">
        <v>43</v>
      </c>
      <c r="H277" s="15" t="s">
        <v>655</v>
      </c>
      <c r="I277" s="15" t="s">
        <v>656</v>
      </c>
      <c r="J277" s="16">
        <v>118000.0</v>
      </c>
      <c r="K277" s="16">
        <v>2.0</v>
      </c>
      <c r="L277" s="17">
        <v>45970.758310185185</v>
      </c>
      <c r="M277" s="17">
        <v>45972.64627314815</v>
      </c>
      <c r="N277" s="17">
        <v>45981.0</v>
      </c>
      <c r="O277" s="18"/>
      <c r="P277" s="18"/>
      <c r="Q277" s="18"/>
      <c r="R277" s="18"/>
      <c r="S277" s="18"/>
      <c r="T277" s="18"/>
      <c r="U277" s="18"/>
    </row>
    <row r="278">
      <c r="A278" s="14">
        <f t="shared" si="1"/>
        <v>45970</v>
      </c>
      <c r="B278" s="15" t="s">
        <v>170</v>
      </c>
      <c r="C278" s="15" t="s">
        <v>30</v>
      </c>
      <c r="D278" s="15" t="s">
        <v>657</v>
      </c>
      <c r="E278" s="16">
        <v>4.366720186E9</v>
      </c>
      <c r="F278" s="15">
        <v>4.546798282E9</v>
      </c>
      <c r="G278" s="15" t="s">
        <v>135</v>
      </c>
      <c r="H278" s="15" t="s">
        <v>658</v>
      </c>
      <c r="I278" s="15" t="s">
        <v>658</v>
      </c>
      <c r="J278" s="16">
        <v>109000.0</v>
      </c>
      <c r="K278" s="16">
        <v>1.0</v>
      </c>
      <c r="L278" s="17">
        <v>45970.72697916667</v>
      </c>
      <c r="M278" s="17">
        <v>45972.72258101852</v>
      </c>
      <c r="N278" s="17">
        <v>45981.0</v>
      </c>
      <c r="O278" s="18"/>
      <c r="P278" s="18"/>
      <c r="Q278" s="18"/>
      <c r="R278" s="18"/>
      <c r="S278" s="18"/>
      <c r="T278" s="18"/>
      <c r="U278" s="18"/>
    </row>
    <row r="279">
      <c r="A279" s="14">
        <f t="shared" si="1"/>
        <v>45970</v>
      </c>
      <c r="B279" s="15" t="s">
        <v>170</v>
      </c>
      <c r="C279" s="15" t="s">
        <v>30</v>
      </c>
      <c r="D279" s="15" t="s">
        <v>659</v>
      </c>
      <c r="E279" s="16">
        <v>4.366719661E9</v>
      </c>
      <c r="F279" s="15">
        <v>4.180303895E9</v>
      </c>
      <c r="G279" s="15" t="s">
        <v>43</v>
      </c>
      <c r="H279" s="15" t="s">
        <v>660</v>
      </c>
      <c r="I279" s="15" t="s">
        <v>660</v>
      </c>
      <c r="J279" s="16">
        <v>59000.0</v>
      </c>
      <c r="K279" s="16">
        <v>1.0</v>
      </c>
      <c r="L279" s="17">
        <v>45970.725902777776</v>
      </c>
      <c r="M279" s="17">
        <v>45972.79913194444</v>
      </c>
      <c r="N279" s="17">
        <v>45981.0</v>
      </c>
      <c r="O279" s="18"/>
      <c r="P279" s="18"/>
      <c r="Q279" s="18"/>
      <c r="R279" s="18"/>
      <c r="S279" s="18"/>
      <c r="T279" s="18"/>
      <c r="U279" s="18"/>
    </row>
    <row r="280">
      <c r="A280" s="14">
        <f t="shared" si="1"/>
        <v>45970</v>
      </c>
      <c r="B280" s="15" t="s">
        <v>170</v>
      </c>
      <c r="C280" s="15" t="s">
        <v>30</v>
      </c>
      <c r="D280" s="15" t="s">
        <v>661</v>
      </c>
      <c r="E280" s="16">
        <v>4.366682971E9</v>
      </c>
      <c r="F280" s="15">
        <v>4.113890503E9</v>
      </c>
      <c r="G280" s="15" t="s">
        <v>509</v>
      </c>
      <c r="H280" s="15" t="s">
        <v>662</v>
      </c>
      <c r="I280" s="15" t="s">
        <v>662</v>
      </c>
      <c r="J280" s="16">
        <v>14500.0</v>
      </c>
      <c r="K280" s="16">
        <v>1.0</v>
      </c>
      <c r="L280" s="17">
        <v>45970.6518287037</v>
      </c>
      <c r="M280" s="17">
        <v>45972.67395833333</v>
      </c>
      <c r="N280" s="17">
        <v>45981.0</v>
      </c>
      <c r="O280" s="18"/>
      <c r="P280" s="18"/>
      <c r="Q280" s="18"/>
      <c r="R280" s="18"/>
      <c r="S280" s="18"/>
      <c r="T280" s="18"/>
      <c r="U280" s="18"/>
    </row>
    <row r="281">
      <c r="A281" s="14">
        <f t="shared" si="1"/>
        <v>45970</v>
      </c>
      <c r="B281" s="15" t="s">
        <v>170</v>
      </c>
      <c r="C281" s="15" t="s">
        <v>30</v>
      </c>
      <c r="D281" s="15" t="s">
        <v>663</v>
      </c>
      <c r="E281" s="16">
        <v>4.366676931E9</v>
      </c>
      <c r="F281" s="15">
        <v>4.180303895E9</v>
      </c>
      <c r="G281" s="15" t="s">
        <v>43</v>
      </c>
      <c r="H281" s="15" t="s">
        <v>664</v>
      </c>
      <c r="I281" s="15" t="s">
        <v>664</v>
      </c>
      <c r="J281" s="16">
        <v>59000.0</v>
      </c>
      <c r="K281" s="16">
        <v>1.0</v>
      </c>
      <c r="L281" s="17">
        <v>45970.63980324074</v>
      </c>
      <c r="M281" s="17">
        <v>45972.64642361111</v>
      </c>
      <c r="N281" s="17">
        <v>45981.0</v>
      </c>
      <c r="O281" s="18"/>
      <c r="P281" s="18"/>
      <c r="Q281" s="18"/>
      <c r="R281" s="18"/>
      <c r="S281" s="18"/>
      <c r="T281" s="18"/>
      <c r="U281" s="18"/>
    </row>
    <row r="282">
      <c r="A282" s="14">
        <f t="shared" si="1"/>
        <v>45970</v>
      </c>
      <c r="B282" s="15" t="s">
        <v>170</v>
      </c>
      <c r="C282" s="15" t="s">
        <v>40</v>
      </c>
      <c r="D282" s="15" t="s">
        <v>665</v>
      </c>
      <c r="E282" s="16">
        <v>2.539097576E9</v>
      </c>
      <c r="F282" s="15" t="s">
        <v>666</v>
      </c>
      <c r="G282" s="15" t="s">
        <v>135</v>
      </c>
      <c r="H282" s="15" t="s">
        <v>667</v>
      </c>
      <c r="I282" s="15" t="s">
        <v>667</v>
      </c>
      <c r="J282" s="16">
        <v>109000.0</v>
      </c>
      <c r="K282" s="16">
        <v>1.0</v>
      </c>
      <c r="L282" s="17">
        <v>45970.6375</v>
      </c>
      <c r="M282" s="17">
        <v>45972.631944444445</v>
      </c>
      <c r="N282" s="17">
        <v>45980.11875</v>
      </c>
      <c r="O282" s="18"/>
      <c r="P282" s="18"/>
      <c r="Q282" s="18"/>
      <c r="R282" s="18"/>
      <c r="S282" s="18"/>
      <c r="T282" s="18"/>
      <c r="U282" s="18"/>
    </row>
    <row r="283">
      <c r="A283" s="14">
        <f t="shared" si="1"/>
        <v>45970</v>
      </c>
      <c r="B283" s="15" t="s">
        <v>47</v>
      </c>
      <c r="C283" s="15" t="s">
        <v>30</v>
      </c>
      <c r="D283" s="15" t="s">
        <v>668</v>
      </c>
      <c r="E283" s="16">
        <v>4.366674489E9</v>
      </c>
      <c r="F283" s="15">
        <v>4.180303895E9</v>
      </c>
      <c r="G283" s="15" t="s">
        <v>43</v>
      </c>
      <c r="H283" s="15" t="s">
        <v>669</v>
      </c>
      <c r="I283" s="15" t="s">
        <v>669</v>
      </c>
      <c r="J283" s="16">
        <v>59000.0</v>
      </c>
      <c r="K283" s="16">
        <v>1.0</v>
      </c>
      <c r="L283" s="17">
        <v>45970.63505787037</v>
      </c>
      <c r="M283" s="20"/>
      <c r="N283" s="20"/>
      <c r="O283" s="18"/>
      <c r="P283" s="18"/>
      <c r="Q283" s="18"/>
      <c r="R283" s="18"/>
      <c r="S283" s="18"/>
      <c r="T283" s="18"/>
      <c r="U283" s="18"/>
    </row>
    <row r="284">
      <c r="A284" s="14">
        <f t="shared" si="1"/>
        <v>45970</v>
      </c>
      <c r="B284" s="15" t="s">
        <v>170</v>
      </c>
      <c r="C284" s="15" t="s">
        <v>30</v>
      </c>
      <c r="D284" s="15" t="s">
        <v>670</v>
      </c>
      <c r="E284" s="16">
        <v>4.366664389E9</v>
      </c>
      <c r="F284" s="15">
        <v>4.180303895E9</v>
      </c>
      <c r="G284" s="15" t="s">
        <v>43</v>
      </c>
      <c r="H284" s="15" t="s">
        <v>671</v>
      </c>
      <c r="I284" s="15" t="s">
        <v>671</v>
      </c>
      <c r="J284" s="16">
        <v>59000.0</v>
      </c>
      <c r="K284" s="16">
        <v>1.0</v>
      </c>
      <c r="L284" s="17">
        <v>45970.61420138889</v>
      </c>
      <c r="M284" s="17">
        <v>45972.79225694444</v>
      </c>
      <c r="N284" s="17">
        <v>45981.0</v>
      </c>
      <c r="O284" s="18"/>
      <c r="P284" s="18"/>
      <c r="Q284" s="18"/>
      <c r="R284" s="18"/>
      <c r="S284" s="18"/>
      <c r="T284" s="18"/>
      <c r="U284" s="18"/>
    </row>
    <row r="285">
      <c r="A285" s="14">
        <f t="shared" si="1"/>
        <v>45970</v>
      </c>
      <c r="B285" s="15" t="s">
        <v>290</v>
      </c>
      <c r="C285" s="15" t="s">
        <v>40</v>
      </c>
      <c r="D285" s="15" t="s">
        <v>672</v>
      </c>
      <c r="E285" s="16">
        <v>2.53908437E9</v>
      </c>
      <c r="F285" s="15" t="s">
        <v>443</v>
      </c>
      <c r="G285" s="15" t="s">
        <v>236</v>
      </c>
      <c r="H285" s="15" t="s">
        <v>673</v>
      </c>
      <c r="I285" s="15" t="s">
        <v>673</v>
      </c>
      <c r="J285" s="16">
        <v>119000.0</v>
      </c>
      <c r="K285" s="16">
        <v>1.0</v>
      </c>
      <c r="L285" s="17">
        <v>45970.55138888889</v>
      </c>
      <c r="M285" s="17">
        <v>45972.910416666666</v>
      </c>
      <c r="N285" s="20"/>
      <c r="O285" s="18"/>
      <c r="P285" s="18"/>
      <c r="Q285" s="18"/>
      <c r="R285" s="18"/>
      <c r="S285" s="18"/>
      <c r="T285" s="18"/>
      <c r="U285" s="18"/>
    </row>
    <row r="286">
      <c r="A286" s="14">
        <f t="shared" si="1"/>
        <v>45970</v>
      </c>
      <c r="B286" s="15" t="s">
        <v>170</v>
      </c>
      <c r="C286" s="15" t="s">
        <v>40</v>
      </c>
      <c r="D286" s="15" t="s">
        <v>674</v>
      </c>
      <c r="E286" s="16">
        <v>2.539080122E9</v>
      </c>
      <c r="F286" s="15" t="s">
        <v>42</v>
      </c>
      <c r="G286" s="15" t="s">
        <v>43</v>
      </c>
      <c r="H286" s="15" t="s">
        <v>675</v>
      </c>
      <c r="I286" s="15" t="s">
        <v>675</v>
      </c>
      <c r="J286" s="16">
        <v>59000.0</v>
      </c>
      <c r="K286" s="16">
        <v>1.0</v>
      </c>
      <c r="L286" s="17">
        <v>45970.52013888889</v>
      </c>
      <c r="M286" s="17">
        <v>45972.65215277778</v>
      </c>
      <c r="N286" s="17">
        <v>45976.48472222222</v>
      </c>
      <c r="O286" s="18"/>
      <c r="P286" s="18"/>
      <c r="Q286" s="18"/>
      <c r="R286" s="18"/>
      <c r="S286" s="18"/>
      <c r="T286" s="18"/>
      <c r="U286" s="18"/>
    </row>
    <row r="287">
      <c r="A287" s="14">
        <f t="shared" si="1"/>
        <v>45970</v>
      </c>
      <c r="B287" s="15" t="s">
        <v>170</v>
      </c>
      <c r="C287" s="15" t="s">
        <v>40</v>
      </c>
      <c r="D287" s="15" t="s">
        <v>676</v>
      </c>
      <c r="E287" s="16">
        <v>2.539079821E9</v>
      </c>
      <c r="F287" s="15" t="s">
        <v>42</v>
      </c>
      <c r="G287" s="15" t="s">
        <v>43</v>
      </c>
      <c r="H287" s="15" t="s">
        <v>677</v>
      </c>
      <c r="I287" s="15" t="s">
        <v>677</v>
      </c>
      <c r="J287" s="16">
        <v>59000.0</v>
      </c>
      <c r="K287" s="16">
        <v>1.0</v>
      </c>
      <c r="L287" s="17">
        <v>45970.52569444444</v>
      </c>
      <c r="M287" s="17">
        <v>45972.713958333334</v>
      </c>
      <c r="N287" s="17">
        <v>45980.11319444444</v>
      </c>
      <c r="O287" s="18"/>
      <c r="P287" s="18"/>
      <c r="Q287" s="18"/>
      <c r="R287" s="18"/>
      <c r="S287" s="18"/>
      <c r="T287" s="18"/>
      <c r="U287" s="18"/>
    </row>
    <row r="288">
      <c r="A288" s="14">
        <f t="shared" si="1"/>
        <v>45970</v>
      </c>
      <c r="B288" s="15" t="s">
        <v>170</v>
      </c>
      <c r="C288" s="15" t="s">
        <v>30</v>
      </c>
      <c r="D288" s="15" t="s">
        <v>678</v>
      </c>
      <c r="E288" s="16">
        <v>4.366606123E9</v>
      </c>
      <c r="F288" s="15">
        <v>4.180306338E9</v>
      </c>
      <c r="G288" s="15" t="s">
        <v>35</v>
      </c>
      <c r="H288" s="15" t="s">
        <v>679</v>
      </c>
      <c r="I288" s="15" t="s">
        <v>679</v>
      </c>
      <c r="J288" s="16">
        <v>65000.0</v>
      </c>
      <c r="K288" s="16">
        <v>1.0</v>
      </c>
      <c r="L288" s="17">
        <v>45970.48815972222</v>
      </c>
      <c r="M288" s="17">
        <v>45972.465682870374</v>
      </c>
      <c r="N288" s="17">
        <v>45981.0</v>
      </c>
      <c r="O288" s="18"/>
      <c r="P288" s="18"/>
      <c r="Q288" s="18"/>
      <c r="R288" s="18"/>
      <c r="S288" s="18"/>
      <c r="T288" s="18"/>
      <c r="U288" s="18"/>
    </row>
    <row r="289">
      <c r="A289" s="14">
        <f t="shared" si="1"/>
        <v>45970</v>
      </c>
      <c r="B289" s="15" t="s">
        <v>170</v>
      </c>
      <c r="C289" s="15" t="s">
        <v>30</v>
      </c>
      <c r="D289" s="15" t="s">
        <v>680</v>
      </c>
      <c r="E289" s="16">
        <v>4.366600636E9</v>
      </c>
      <c r="F289" s="15">
        <v>2.702301401E9</v>
      </c>
      <c r="G289" s="15" t="s">
        <v>81</v>
      </c>
      <c r="H289" s="15" t="s">
        <v>681</v>
      </c>
      <c r="I289" s="15" t="s">
        <v>681</v>
      </c>
      <c r="J289" s="16">
        <v>29900.0</v>
      </c>
      <c r="K289" s="16">
        <v>1.0</v>
      </c>
      <c r="L289" s="17">
        <v>45970.47636574074</v>
      </c>
      <c r="M289" s="17">
        <v>45972.79201388889</v>
      </c>
      <c r="N289" s="17">
        <v>45981.0</v>
      </c>
      <c r="O289" s="18"/>
      <c r="P289" s="18"/>
      <c r="Q289" s="18"/>
      <c r="R289" s="18"/>
      <c r="S289" s="18"/>
      <c r="T289" s="18"/>
      <c r="U289" s="18"/>
    </row>
    <row r="290">
      <c r="A290" s="14">
        <f t="shared" si="1"/>
        <v>45970</v>
      </c>
      <c r="B290" s="15" t="s">
        <v>170</v>
      </c>
      <c r="C290" s="15" t="s">
        <v>30</v>
      </c>
      <c r="D290" s="15" t="s">
        <v>682</v>
      </c>
      <c r="E290" s="16">
        <v>4.366564132E9</v>
      </c>
      <c r="F290" s="15">
        <v>4.180306338E9</v>
      </c>
      <c r="G290" s="15" t="s">
        <v>35</v>
      </c>
      <c r="H290" s="15" t="s">
        <v>683</v>
      </c>
      <c r="I290" s="15" t="s">
        <v>684</v>
      </c>
      <c r="J290" s="16">
        <v>65000.0</v>
      </c>
      <c r="K290" s="16">
        <v>1.0</v>
      </c>
      <c r="L290" s="17">
        <v>45970.398148148146</v>
      </c>
      <c r="M290" s="17">
        <v>45972.84075231481</v>
      </c>
      <c r="N290" s="17">
        <v>45981.0</v>
      </c>
      <c r="O290" s="18"/>
      <c r="P290" s="18"/>
      <c r="Q290" s="18"/>
      <c r="R290" s="18"/>
      <c r="S290" s="18"/>
      <c r="T290" s="18"/>
      <c r="U290" s="18"/>
    </row>
    <row r="291">
      <c r="A291" s="14">
        <f t="shared" si="1"/>
        <v>45969</v>
      </c>
      <c r="B291" s="15" t="s">
        <v>170</v>
      </c>
      <c r="C291" s="15" t="s">
        <v>30</v>
      </c>
      <c r="D291" s="15" t="s">
        <v>685</v>
      </c>
      <c r="E291" s="16">
        <v>4.366488358E9</v>
      </c>
      <c r="F291" s="15">
        <v>4.188494215E9</v>
      </c>
      <c r="G291" s="15" t="s">
        <v>38</v>
      </c>
      <c r="H291" s="15" t="s">
        <v>686</v>
      </c>
      <c r="I291" s="15" t="s">
        <v>686</v>
      </c>
      <c r="J291" s="16">
        <v>24900.0</v>
      </c>
      <c r="K291" s="16">
        <v>1.0</v>
      </c>
      <c r="L291" s="17">
        <v>45969.985625</v>
      </c>
      <c r="M291" s="17">
        <v>45972.910104166665</v>
      </c>
      <c r="N291" s="17">
        <v>45981.0</v>
      </c>
      <c r="O291" s="18"/>
      <c r="P291" s="18"/>
      <c r="Q291" s="18"/>
      <c r="R291" s="18"/>
      <c r="S291" s="18"/>
      <c r="T291" s="18"/>
      <c r="U291" s="18"/>
    </row>
    <row r="292">
      <c r="A292" s="14">
        <f t="shared" si="1"/>
        <v>45969</v>
      </c>
      <c r="B292" s="15" t="s">
        <v>170</v>
      </c>
      <c r="C292" s="15" t="s">
        <v>30</v>
      </c>
      <c r="D292" s="15" t="s">
        <v>687</v>
      </c>
      <c r="E292" s="16">
        <v>4.366487336E9</v>
      </c>
      <c r="F292" s="15">
        <v>4.547685725E9</v>
      </c>
      <c r="G292" s="15" t="s">
        <v>236</v>
      </c>
      <c r="H292" s="15" t="s">
        <v>688</v>
      </c>
      <c r="I292" s="15" t="s">
        <v>688</v>
      </c>
      <c r="J292" s="16">
        <v>119000.0</v>
      </c>
      <c r="K292" s="16">
        <v>1.0</v>
      </c>
      <c r="L292" s="17">
        <v>45969.98364583333</v>
      </c>
      <c r="M292" s="17">
        <v>45972.86152777778</v>
      </c>
      <c r="N292" s="17">
        <v>45981.0</v>
      </c>
      <c r="O292" s="18"/>
      <c r="P292" s="18"/>
      <c r="Q292" s="18"/>
      <c r="R292" s="18"/>
      <c r="S292" s="18"/>
      <c r="T292" s="18"/>
      <c r="U292" s="18"/>
    </row>
    <row r="293">
      <c r="A293" s="14">
        <f t="shared" si="1"/>
        <v>45969</v>
      </c>
      <c r="B293" s="15" t="s">
        <v>170</v>
      </c>
      <c r="C293" s="15" t="s">
        <v>30</v>
      </c>
      <c r="D293" s="15" t="s">
        <v>689</v>
      </c>
      <c r="E293" s="16">
        <v>4.366460641E9</v>
      </c>
      <c r="F293" s="15">
        <v>4.180303895E9</v>
      </c>
      <c r="G293" s="15" t="s">
        <v>43</v>
      </c>
      <c r="H293" s="15" t="s">
        <v>690</v>
      </c>
      <c r="I293" s="15" t="s">
        <v>691</v>
      </c>
      <c r="J293" s="16">
        <v>59000.0</v>
      </c>
      <c r="K293" s="16">
        <v>1.0</v>
      </c>
      <c r="L293" s="17">
        <v>45969.934895833336</v>
      </c>
      <c r="M293" s="17">
        <v>45972.757627314815</v>
      </c>
      <c r="N293" s="17">
        <v>45981.0</v>
      </c>
      <c r="O293" s="18"/>
      <c r="P293" s="18"/>
      <c r="Q293" s="18"/>
      <c r="R293" s="18"/>
      <c r="S293" s="18"/>
      <c r="T293" s="18"/>
      <c r="U293" s="18"/>
    </row>
    <row r="294">
      <c r="A294" s="14">
        <f t="shared" si="1"/>
        <v>45969</v>
      </c>
      <c r="B294" s="15" t="s">
        <v>170</v>
      </c>
      <c r="C294" s="15" t="s">
        <v>30</v>
      </c>
      <c r="D294" s="15" t="s">
        <v>692</v>
      </c>
      <c r="E294" s="16">
        <v>4.366441927E9</v>
      </c>
      <c r="F294" s="15">
        <v>4.188494215E9</v>
      </c>
      <c r="G294" s="15" t="s">
        <v>38</v>
      </c>
      <c r="H294" s="15" t="s">
        <v>693</v>
      </c>
      <c r="I294" s="15" t="s">
        <v>693</v>
      </c>
      <c r="J294" s="16">
        <v>24900.0</v>
      </c>
      <c r="K294" s="16">
        <v>1.0</v>
      </c>
      <c r="L294" s="17">
        <v>45969.90081018519</v>
      </c>
      <c r="M294" s="17">
        <v>45972.67395833333</v>
      </c>
      <c r="N294" s="17">
        <v>45978.0</v>
      </c>
      <c r="O294" s="18"/>
      <c r="P294" s="18"/>
      <c r="Q294" s="18"/>
      <c r="R294" s="18"/>
      <c r="S294" s="18"/>
      <c r="T294" s="18"/>
      <c r="U294" s="18"/>
    </row>
    <row r="295">
      <c r="A295" s="14">
        <f t="shared" si="1"/>
        <v>45969</v>
      </c>
      <c r="B295" s="15" t="s">
        <v>170</v>
      </c>
      <c r="C295" s="15" t="s">
        <v>30</v>
      </c>
      <c r="D295" s="15" t="s">
        <v>694</v>
      </c>
      <c r="E295" s="16">
        <v>4.366440796E9</v>
      </c>
      <c r="F295" s="15">
        <v>4.180306338E9</v>
      </c>
      <c r="G295" s="15" t="s">
        <v>35</v>
      </c>
      <c r="H295" s="15" t="s">
        <v>695</v>
      </c>
      <c r="I295" s="15" t="s">
        <v>696</v>
      </c>
      <c r="J295" s="16">
        <v>65000.0</v>
      </c>
      <c r="K295" s="16">
        <v>1.0</v>
      </c>
      <c r="L295" s="17">
        <v>45969.89869212963</v>
      </c>
      <c r="M295" s="17">
        <v>45972.79912037037</v>
      </c>
      <c r="N295" s="17">
        <v>45974.0</v>
      </c>
      <c r="O295" s="18"/>
      <c r="P295" s="18"/>
      <c r="Q295" s="18"/>
      <c r="R295" s="18"/>
      <c r="S295" s="18"/>
      <c r="T295" s="18"/>
      <c r="U295" s="18"/>
    </row>
    <row r="296">
      <c r="A296" s="14">
        <f t="shared" si="1"/>
        <v>45969</v>
      </c>
      <c r="B296" s="15" t="s">
        <v>170</v>
      </c>
      <c r="C296" s="15" t="s">
        <v>30</v>
      </c>
      <c r="D296" s="15" t="s">
        <v>697</v>
      </c>
      <c r="E296" s="16">
        <v>4.36643568E9</v>
      </c>
      <c r="F296" s="15">
        <v>4.544615334E9</v>
      </c>
      <c r="G296" s="15" t="s">
        <v>469</v>
      </c>
      <c r="H296" s="15" t="s">
        <v>698</v>
      </c>
      <c r="I296" s="15" t="s">
        <v>698</v>
      </c>
      <c r="J296" s="16">
        <v>65000.0</v>
      </c>
      <c r="K296" s="16">
        <v>1.0</v>
      </c>
      <c r="L296" s="17">
        <v>45969.88972222222</v>
      </c>
      <c r="M296" s="17">
        <v>45972.80606481482</v>
      </c>
      <c r="N296" s="17">
        <v>45981.0</v>
      </c>
      <c r="O296" s="18"/>
      <c r="P296" s="18"/>
      <c r="Q296" s="18"/>
      <c r="R296" s="18"/>
      <c r="S296" s="18"/>
      <c r="T296" s="18"/>
      <c r="U296" s="18"/>
    </row>
    <row r="297">
      <c r="A297" s="14">
        <f t="shared" si="1"/>
        <v>45969</v>
      </c>
      <c r="B297" s="15" t="s">
        <v>170</v>
      </c>
      <c r="C297" s="15" t="s">
        <v>30</v>
      </c>
      <c r="D297" s="15" t="s">
        <v>699</v>
      </c>
      <c r="E297" s="16">
        <v>4.366430239E9</v>
      </c>
      <c r="F297" s="15">
        <v>4.546798282E9</v>
      </c>
      <c r="G297" s="15" t="s">
        <v>135</v>
      </c>
      <c r="H297" s="15" t="s">
        <v>700</v>
      </c>
      <c r="I297" s="15" t="s">
        <v>700</v>
      </c>
      <c r="J297" s="16">
        <v>327000.0</v>
      </c>
      <c r="K297" s="16">
        <v>3.0</v>
      </c>
      <c r="L297" s="17">
        <v>45969.87987268518</v>
      </c>
      <c r="M297" s="17">
        <v>45972.722592592596</v>
      </c>
      <c r="N297" s="17">
        <v>45981.0</v>
      </c>
      <c r="O297" s="18"/>
      <c r="P297" s="18"/>
      <c r="Q297" s="18"/>
      <c r="R297" s="18"/>
      <c r="S297" s="18"/>
      <c r="T297" s="18"/>
      <c r="U297" s="18"/>
    </row>
    <row r="298">
      <c r="A298" s="14">
        <f t="shared" si="1"/>
        <v>45969</v>
      </c>
      <c r="B298" s="15" t="s">
        <v>170</v>
      </c>
      <c r="C298" s="15" t="s">
        <v>30</v>
      </c>
      <c r="D298" s="15" t="s">
        <v>701</v>
      </c>
      <c r="E298" s="16">
        <v>4.366407857E9</v>
      </c>
      <c r="F298" s="15">
        <v>4.180303895E9</v>
      </c>
      <c r="G298" s="15" t="s">
        <v>43</v>
      </c>
      <c r="H298" s="15" t="s">
        <v>702</v>
      </c>
      <c r="I298" s="15" t="s">
        <v>703</v>
      </c>
      <c r="J298" s="16">
        <v>59000.0</v>
      </c>
      <c r="K298" s="16">
        <v>1.0</v>
      </c>
      <c r="L298" s="17">
        <v>45969.83666666667</v>
      </c>
      <c r="M298" s="17">
        <v>45972.507314814815</v>
      </c>
      <c r="N298" s="17">
        <v>45981.0</v>
      </c>
      <c r="O298" s="18"/>
      <c r="P298" s="18"/>
      <c r="Q298" s="18"/>
      <c r="R298" s="18"/>
      <c r="S298" s="18"/>
      <c r="T298" s="18"/>
      <c r="U298" s="18"/>
    </row>
    <row r="299">
      <c r="A299" s="14">
        <f t="shared" si="1"/>
        <v>45969</v>
      </c>
      <c r="B299" s="15" t="s">
        <v>170</v>
      </c>
      <c r="C299" s="15" t="s">
        <v>30</v>
      </c>
      <c r="D299" s="15" t="s">
        <v>704</v>
      </c>
      <c r="E299" s="16">
        <v>4.366403657E9</v>
      </c>
      <c r="F299" s="15">
        <v>2.774671191E9</v>
      </c>
      <c r="G299" s="15" t="s">
        <v>131</v>
      </c>
      <c r="H299" s="15" t="s">
        <v>705</v>
      </c>
      <c r="I299" s="15" t="s">
        <v>705</v>
      </c>
      <c r="J299" s="16">
        <v>72000.0</v>
      </c>
      <c r="K299" s="16">
        <v>1.0</v>
      </c>
      <c r="L299" s="17">
        <v>45969.82818287037</v>
      </c>
      <c r="M299" s="17">
        <v>45972.72258101852</v>
      </c>
      <c r="N299" s="17">
        <v>45981.0</v>
      </c>
      <c r="O299" s="18"/>
      <c r="P299" s="18"/>
      <c r="Q299" s="18"/>
      <c r="R299" s="18"/>
      <c r="S299" s="18"/>
      <c r="T299" s="18"/>
      <c r="U299" s="18"/>
    </row>
    <row r="300">
      <c r="A300" s="14">
        <f t="shared" si="1"/>
        <v>45969</v>
      </c>
      <c r="B300" s="15" t="s">
        <v>170</v>
      </c>
      <c r="C300" s="15" t="s">
        <v>40</v>
      </c>
      <c r="D300" s="15" t="s">
        <v>706</v>
      </c>
      <c r="E300" s="16">
        <v>2.53901362E9</v>
      </c>
      <c r="F300" s="15" t="s">
        <v>42</v>
      </c>
      <c r="G300" s="15" t="s">
        <v>43</v>
      </c>
      <c r="H300" s="15" t="s">
        <v>707</v>
      </c>
      <c r="I300" s="15" t="s">
        <v>707</v>
      </c>
      <c r="J300" s="16">
        <v>118000.0</v>
      </c>
      <c r="K300" s="16">
        <v>2.0</v>
      </c>
      <c r="L300" s="17">
        <v>45969.81319444445</v>
      </c>
      <c r="M300" s="17">
        <v>45972.71135416667</v>
      </c>
      <c r="N300" s="17">
        <v>45980.09583333333</v>
      </c>
      <c r="O300" s="18"/>
      <c r="P300" s="18"/>
      <c r="Q300" s="18"/>
      <c r="R300" s="18"/>
      <c r="S300" s="18"/>
      <c r="T300" s="18"/>
      <c r="U300" s="18"/>
    </row>
    <row r="301">
      <c r="A301" s="14">
        <f t="shared" si="1"/>
        <v>45969</v>
      </c>
      <c r="B301" s="15" t="s">
        <v>170</v>
      </c>
      <c r="C301" s="15" t="s">
        <v>30</v>
      </c>
      <c r="D301" s="15" t="s">
        <v>708</v>
      </c>
      <c r="E301" s="16">
        <v>4.36639159E9</v>
      </c>
      <c r="F301" s="15">
        <v>4.180303895E9</v>
      </c>
      <c r="G301" s="15" t="s">
        <v>43</v>
      </c>
      <c r="H301" s="15" t="s">
        <v>709</v>
      </c>
      <c r="I301" s="15" t="s">
        <v>709</v>
      </c>
      <c r="J301" s="16">
        <v>59000.0</v>
      </c>
      <c r="K301" s="16">
        <v>1.0</v>
      </c>
      <c r="L301" s="17">
        <v>45969.80136574074</v>
      </c>
      <c r="M301" s="17">
        <v>45972.50733796296</v>
      </c>
      <c r="N301" s="17">
        <v>45973.0</v>
      </c>
      <c r="O301" s="18"/>
      <c r="P301" s="18"/>
      <c r="Q301" s="18"/>
      <c r="R301" s="18"/>
      <c r="S301" s="18"/>
      <c r="T301" s="18"/>
      <c r="U301" s="18"/>
    </row>
    <row r="302">
      <c r="A302" s="14">
        <f t="shared" si="1"/>
        <v>45969</v>
      </c>
      <c r="B302" s="15" t="s">
        <v>170</v>
      </c>
      <c r="C302" s="15" t="s">
        <v>30</v>
      </c>
      <c r="D302" s="15" t="s">
        <v>710</v>
      </c>
      <c r="E302" s="16">
        <v>4.366362585E9</v>
      </c>
      <c r="F302" s="15">
        <v>4.180303895E9</v>
      </c>
      <c r="G302" s="15" t="s">
        <v>43</v>
      </c>
      <c r="H302" s="15" t="s">
        <v>711</v>
      </c>
      <c r="I302" s="15" t="s">
        <v>711</v>
      </c>
      <c r="J302" s="16">
        <v>59000.0</v>
      </c>
      <c r="K302" s="16">
        <v>1.0</v>
      </c>
      <c r="L302" s="17">
        <v>45969.72789351852</v>
      </c>
      <c r="M302" s="17">
        <v>45972.507314814815</v>
      </c>
      <c r="N302" s="17">
        <v>45981.0</v>
      </c>
      <c r="O302" s="18"/>
      <c r="P302" s="18"/>
      <c r="Q302" s="18"/>
      <c r="R302" s="18"/>
      <c r="S302" s="18"/>
      <c r="T302" s="18"/>
      <c r="U302" s="18"/>
    </row>
    <row r="303">
      <c r="A303" s="14">
        <f t="shared" si="1"/>
        <v>45969</v>
      </c>
      <c r="B303" s="15" t="s">
        <v>170</v>
      </c>
      <c r="C303" s="15" t="s">
        <v>30</v>
      </c>
      <c r="D303" s="15" t="s">
        <v>712</v>
      </c>
      <c r="E303" s="16">
        <v>4.366335986E9</v>
      </c>
      <c r="F303" s="15">
        <v>4.180303895E9</v>
      </c>
      <c r="G303" s="15" t="s">
        <v>43</v>
      </c>
      <c r="H303" s="15" t="s">
        <v>713</v>
      </c>
      <c r="I303" s="15" t="s">
        <v>713</v>
      </c>
      <c r="J303" s="16">
        <v>59000.0</v>
      </c>
      <c r="K303" s="16">
        <v>1.0</v>
      </c>
      <c r="L303" s="17">
        <v>45969.66405092592</v>
      </c>
      <c r="M303" s="17">
        <v>45972.68827546296</v>
      </c>
      <c r="N303" s="17">
        <v>45973.0</v>
      </c>
      <c r="O303" s="18"/>
      <c r="P303" s="18"/>
      <c r="Q303" s="18"/>
      <c r="R303" s="18"/>
      <c r="S303" s="18"/>
      <c r="T303" s="18"/>
      <c r="U303" s="18"/>
    </row>
    <row r="304">
      <c r="A304" s="14">
        <f t="shared" si="1"/>
        <v>45969</v>
      </c>
      <c r="B304" s="15" t="s">
        <v>170</v>
      </c>
      <c r="C304" s="15" t="s">
        <v>30</v>
      </c>
      <c r="D304" s="15" t="s">
        <v>714</v>
      </c>
      <c r="E304" s="16">
        <v>4.366333732E9</v>
      </c>
      <c r="F304" s="15">
        <v>4.180303895E9</v>
      </c>
      <c r="G304" s="15" t="s">
        <v>43</v>
      </c>
      <c r="H304" s="15" t="s">
        <v>715</v>
      </c>
      <c r="I304" s="15" t="s">
        <v>715</v>
      </c>
      <c r="J304" s="16">
        <v>236000.0</v>
      </c>
      <c r="K304" s="16">
        <v>4.0</v>
      </c>
      <c r="L304" s="17">
        <v>45969.658472222225</v>
      </c>
      <c r="M304" s="17">
        <v>45972.764386574076</v>
      </c>
      <c r="N304" s="17">
        <v>45981.0</v>
      </c>
      <c r="O304" s="18"/>
      <c r="P304" s="18"/>
      <c r="Q304" s="18"/>
      <c r="R304" s="18"/>
      <c r="S304" s="18"/>
      <c r="T304" s="18"/>
      <c r="U304" s="18"/>
    </row>
    <row r="305">
      <c r="A305" s="14">
        <f t="shared" si="1"/>
        <v>45969</v>
      </c>
      <c r="B305" s="15" t="s">
        <v>47</v>
      </c>
      <c r="C305" s="15" t="s">
        <v>30</v>
      </c>
      <c r="D305" s="15" t="s">
        <v>716</v>
      </c>
      <c r="E305" s="16">
        <v>4.366317798E9</v>
      </c>
      <c r="F305" s="15">
        <v>4.188494215E9</v>
      </c>
      <c r="G305" s="15" t="s">
        <v>38</v>
      </c>
      <c r="H305" s="15" t="s">
        <v>717</v>
      </c>
      <c r="I305" s="15" t="s">
        <v>717</v>
      </c>
      <c r="J305" s="16">
        <v>24900.0</v>
      </c>
      <c r="K305" s="16">
        <v>1.0</v>
      </c>
      <c r="L305" s="17">
        <v>45969.621469907404</v>
      </c>
      <c r="M305" s="20"/>
      <c r="N305" s="20"/>
      <c r="O305" s="18"/>
      <c r="P305" s="18"/>
      <c r="Q305" s="18"/>
      <c r="R305" s="18"/>
      <c r="S305" s="18"/>
      <c r="T305" s="18"/>
      <c r="U305" s="18"/>
    </row>
    <row r="306">
      <c r="A306" s="14">
        <f t="shared" si="1"/>
        <v>45969</v>
      </c>
      <c r="B306" s="15" t="s">
        <v>170</v>
      </c>
      <c r="C306" s="15" t="s">
        <v>40</v>
      </c>
      <c r="D306" s="15" t="s">
        <v>718</v>
      </c>
      <c r="E306" s="16">
        <v>2.538987402E9</v>
      </c>
      <c r="F306" s="15" t="s">
        <v>42</v>
      </c>
      <c r="G306" s="15" t="s">
        <v>43</v>
      </c>
      <c r="H306" s="15" t="s">
        <v>719</v>
      </c>
      <c r="I306" s="15" t="s">
        <v>719</v>
      </c>
      <c r="J306" s="16">
        <v>59000.0</v>
      </c>
      <c r="K306" s="16">
        <v>1.0</v>
      </c>
      <c r="L306" s="17">
        <v>45969.60833333333</v>
      </c>
      <c r="M306" s="17">
        <v>45972.60010416667</v>
      </c>
      <c r="N306" s="17">
        <v>45980.08819444444</v>
      </c>
      <c r="O306" s="18"/>
      <c r="P306" s="18"/>
      <c r="Q306" s="18"/>
      <c r="R306" s="18"/>
      <c r="S306" s="18"/>
      <c r="T306" s="18"/>
      <c r="U306" s="18"/>
    </row>
    <row r="307">
      <c r="A307" s="14">
        <f t="shared" si="1"/>
        <v>45969</v>
      </c>
      <c r="B307" s="15" t="s">
        <v>170</v>
      </c>
      <c r="C307" s="15" t="s">
        <v>30</v>
      </c>
      <c r="D307" s="15" t="s">
        <v>720</v>
      </c>
      <c r="E307" s="16">
        <v>4.366307996E9</v>
      </c>
      <c r="F307" s="15">
        <v>2.702301401E9</v>
      </c>
      <c r="G307" s="15" t="s">
        <v>81</v>
      </c>
      <c r="H307" s="15" t="s">
        <v>721</v>
      </c>
      <c r="I307" s="15" t="s">
        <v>721</v>
      </c>
      <c r="J307" s="16">
        <v>29900.0</v>
      </c>
      <c r="K307" s="16">
        <v>1.0</v>
      </c>
      <c r="L307" s="17">
        <v>45969.59836805556</v>
      </c>
      <c r="M307" s="17">
        <v>45973.07674768518</v>
      </c>
      <c r="N307" s="17">
        <v>45982.0</v>
      </c>
      <c r="O307" s="18"/>
      <c r="P307" s="18"/>
      <c r="Q307" s="18"/>
      <c r="R307" s="18"/>
      <c r="S307" s="18"/>
      <c r="T307" s="18"/>
      <c r="U307" s="18"/>
    </row>
    <row r="308">
      <c r="A308" s="14">
        <f t="shared" si="1"/>
        <v>45969</v>
      </c>
      <c r="B308" s="15" t="s">
        <v>170</v>
      </c>
      <c r="C308" s="15" t="s">
        <v>30</v>
      </c>
      <c r="D308" s="15" t="s">
        <v>722</v>
      </c>
      <c r="E308" s="16">
        <v>4.36630045E9</v>
      </c>
      <c r="F308" s="15">
        <v>4.180303895E9</v>
      </c>
      <c r="G308" s="15" t="s">
        <v>43</v>
      </c>
      <c r="H308" s="15" t="s">
        <v>723</v>
      </c>
      <c r="I308" s="15" t="s">
        <v>723</v>
      </c>
      <c r="J308" s="16">
        <v>59000.0</v>
      </c>
      <c r="K308" s="16">
        <v>1.0</v>
      </c>
      <c r="L308" s="17">
        <v>45969.58096064815</v>
      </c>
      <c r="M308" s="17">
        <v>45972.69497685185</v>
      </c>
      <c r="N308" s="17">
        <v>45981.0</v>
      </c>
      <c r="O308" s="18"/>
      <c r="P308" s="18"/>
      <c r="Q308" s="18"/>
      <c r="R308" s="18"/>
      <c r="S308" s="18"/>
      <c r="T308" s="18"/>
      <c r="U308" s="18"/>
    </row>
    <row r="309">
      <c r="A309" s="14">
        <f t="shared" si="1"/>
        <v>45969</v>
      </c>
      <c r="B309" s="15" t="s">
        <v>170</v>
      </c>
      <c r="C309" s="15" t="s">
        <v>40</v>
      </c>
      <c r="D309" s="15" t="s">
        <v>724</v>
      </c>
      <c r="E309" s="16">
        <v>2.538979218E9</v>
      </c>
      <c r="F309" s="15" t="s">
        <v>42</v>
      </c>
      <c r="G309" s="15" t="s">
        <v>43</v>
      </c>
      <c r="H309" s="15" t="s">
        <v>725</v>
      </c>
      <c r="I309" s="15" t="s">
        <v>725</v>
      </c>
      <c r="J309" s="16">
        <v>59000.0</v>
      </c>
      <c r="K309" s="16">
        <v>1.0</v>
      </c>
      <c r="L309" s="17">
        <v>45969.54375</v>
      </c>
      <c r="M309" s="17">
        <v>45972.737233796295</v>
      </c>
      <c r="N309" s="17">
        <v>45973.48611111111</v>
      </c>
      <c r="O309" s="18"/>
      <c r="P309" s="18"/>
      <c r="Q309" s="18"/>
      <c r="R309" s="18"/>
      <c r="S309" s="18"/>
      <c r="T309" s="18"/>
      <c r="U309" s="18"/>
    </row>
    <row r="310">
      <c r="A310" s="14">
        <f t="shared" si="1"/>
        <v>45969</v>
      </c>
      <c r="B310" s="15" t="s">
        <v>170</v>
      </c>
      <c r="C310" s="15" t="s">
        <v>30</v>
      </c>
      <c r="D310" s="15" t="s">
        <v>726</v>
      </c>
      <c r="E310" s="16">
        <v>4.366198358E9</v>
      </c>
      <c r="F310" s="15">
        <v>4.547685725E9</v>
      </c>
      <c r="G310" s="15" t="s">
        <v>236</v>
      </c>
      <c r="H310" s="15" t="s">
        <v>727</v>
      </c>
      <c r="I310" s="15" t="s">
        <v>727</v>
      </c>
      <c r="J310" s="16">
        <v>119000.0</v>
      </c>
      <c r="K310" s="16">
        <v>1.0</v>
      </c>
      <c r="L310" s="17">
        <v>45969.352013888885</v>
      </c>
      <c r="M310" s="17">
        <v>45972.833715277775</v>
      </c>
      <c r="N310" s="17">
        <v>45981.0</v>
      </c>
      <c r="O310" s="18"/>
      <c r="P310" s="18"/>
      <c r="Q310" s="18"/>
      <c r="R310" s="18"/>
      <c r="S310" s="18"/>
      <c r="T310" s="18"/>
      <c r="U310" s="18"/>
    </row>
    <row r="311">
      <c r="A311" s="14">
        <f t="shared" si="1"/>
        <v>45969</v>
      </c>
      <c r="B311" s="15" t="s">
        <v>170</v>
      </c>
      <c r="C311" s="15" t="s">
        <v>30</v>
      </c>
      <c r="D311" s="15" t="s">
        <v>728</v>
      </c>
      <c r="E311" s="16">
        <v>4.366197193E9</v>
      </c>
      <c r="F311" s="15">
        <v>4.544615334E9</v>
      </c>
      <c r="G311" s="15" t="s">
        <v>469</v>
      </c>
      <c r="H311" s="15" t="s">
        <v>729</v>
      </c>
      <c r="I311" s="15" t="s">
        <v>729</v>
      </c>
      <c r="J311" s="16">
        <v>65000.0</v>
      </c>
      <c r="K311" s="16">
        <v>1.0</v>
      </c>
      <c r="L311" s="17">
        <v>45969.34856481481</v>
      </c>
      <c r="M311" s="17">
        <v>45973.722916666666</v>
      </c>
      <c r="N311" s="17">
        <v>45982.0</v>
      </c>
      <c r="O311" s="18"/>
      <c r="P311" s="18"/>
      <c r="Q311" s="18"/>
      <c r="R311" s="18"/>
      <c r="S311" s="18"/>
      <c r="T311" s="18"/>
      <c r="U311" s="18"/>
    </row>
    <row r="312">
      <c r="A312" s="14">
        <f t="shared" si="1"/>
        <v>45969</v>
      </c>
      <c r="B312" s="15" t="s">
        <v>170</v>
      </c>
      <c r="C312" s="15" t="s">
        <v>30</v>
      </c>
      <c r="D312" s="15" t="s">
        <v>730</v>
      </c>
      <c r="E312" s="16">
        <v>4.366121513E9</v>
      </c>
      <c r="F312" s="15">
        <v>4.180303895E9</v>
      </c>
      <c r="G312" s="15" t="s">
        <v>43</v>
      </c>
      <c r="H312" s="15" t="s">
        <v>731</v>
      </c>
      <c r="I312" s="15" t="s">
        <v>732</v>
      </c>
      <c r="J312" s="16">
        <v>59000.0</v>
      </c>
      <c r="K312" s="16">
        <v>1.0</v>
      </c>
      <c r="L312" s="17">
        <v>45969.00585648148</v>
      </c>
      <c r="M312" s="17">
        <v>45972.6802662037</v>
      </c>
      <c r="N312" s="17">
        <v>45981.0</v>
      </c>
      <c r="O312" s="18"/>
      <c r="P312" s="18"/>
      <c r="Q312" s="18"/>
      <c r="R312" s="18"/>
      <c r="S312" s="18"/>
      <c r="T312" s="18"/>
      <c r="U312" s="18"/>
    </row>
    <row r="313">
      <c r="A313" s="14">
        <f t="shared" si="1"/>
        <v>45968</v>
      </c>
      <c r="B313" s="15" t="s">
        <v>170</v>
      </c>
      <c r="C313" s="15" t="s">
        <v>30</v>
      </c>
      <c r="D313" s="15" t="s">
        <v>733</v>
      </c>
      <c r="E313" s="16">
        <v>4.366109286E9</v>
      </c>
      <c r="F313" s="15">
        <v>4.180303895E9</v>
      </c>
      <c r="G313" s="15" t="s">
        <v>43</v>
      </c>
      <c r="H313" s="15" t="s">
        <v>734</v>
      </c>
      <c r="I313" s="15" t="s">
        <v>734</v>
      </c>
      <c r="J313" s="16">
        <v>59000.0</v>
      </c>
      <c r="K313" s="16">
        <v>1.0</v>
      </c>
      <c r="L313" s="17">
        <v>45968.98118055556</v>
      </c>
      <c r="M313" s="17">
        <v>45972.71571759259</v>
      </c>
      <c r="N313" s="17">
        <v>45974.0</v>
      </c>
      <c r="O313" s="18"/>
      <c r="P313" s="18"/>
      <c r="Q313" s="18"/>
      <c r="R313" s="18"/>
      <c r="S313" s="18"/>
      <c r="T313" s="18"/>
      <c r="U313" s="18"/>
    </row>
    <row r="314">
      <c r="A314" s="14">
        <f t="shared" si="1"/>
        <v>45968</v>
      </c>
      <c r="B314" s="15" t="s">
        <v>170</v>
      </c>
      <c r="C314" s="15" t="s">
        <v>30</v>
      </c>
      <c r="D314" s="15" t="s">
        <v>735</v>
      </c>
      <c r="E314" s="16">
        <v>4.366082271E9</v>
      </c>
      <c r="F314" s="15">
        <v>4.180303895E9</v>
      </c>
      <c r="G314" s="15" t="s">
        <v>43</v>
      </c>
      <c r="H314" s="15" t="s">
        <v>224</v>
      </c>
      <c r="I314" s="15" t="s">
        <v>224</v>
      </c>
      <c r="J314" s="16">
        <v>59000.0</v>
      </c>
      <c r="K314" s="16">
        <v>1.0</v>
      </c>
      <c r="L314" s="17">
        <v>45968.933645833335</v>
      </c>
      <c r="M314" s="17">
        <v>45972.71569444444</v>
      </c>
      <c r="N314" s="17">
        <v>45981.0</v>
      </c>
      <c r="O314" s="18"/>
      <c r="P314" s="18"/>
      <c r="Q314" s="18"/>
      <c r="R314" s="18"/>
      <c r="S314" s="18"/>
      <c r="T314" s="18"/>
      <c r="U314" s="18"/>
    </row>
    <row r="315">
      <c r="A315" s="14">
        <f t="shared" si="1"/>
        <v>45968</v>
      </c>
      <c r="B315" s="15" t="s">
        <v>170</v>
      </c>
      <c r="C315" s="15" t="s">
        <v>30</v>
      </c>
      <c r="D315" s="15" t="s">
        <v>736</v>
      </c>
      <c r="E315" s="16">
        <v>4.366036976E9</v>
      </c>
      <c r="F315" s="15">
        <v>4.180303895E9</v>
      </c>
      <c r="G315" s="15" t="s">
        <v>43</v>
      </c>
      <c r="H315" s="15" t="s">
        <v>737</v>
      </c>
      <c r="I315" s="15" t="s">
        <v>738</v>
      </c>
      <c r="J315" s="16">
        <v>59000.0</v>
      </c>
      <c r="K315" s="16">
        <v>1.0</v>
      </c>
      <c r="L315" s="17">
        <v>45968.854421296295</v>
      </c>
      <c r="M315" s="17">
        <v>45973.62582175926</v>
      </c>
      <c r="N315" s="17">
        <v>45975.0</v>
      </c>
      <c r="O315" s="18"/>
      <c r="P315" s="18"/>
      <c r="Q315" s="18"/>
      <c r="R315" s="18"/>
      <c r="S315" s="18"/>
      <c r="T315" s="18"/>
      <c r="U315" s="18"/>
    </row>
    <row r="316">
      <c r="A316" s="14">
        <f t="shared" si="1"/>
        <v>693961</v>
      </c>
      <c r="B316" s="15" t="s">
        <v>47</v>
      </c>
      <c r="C316" s="15" t="s">
        <v>30</v>
      </c>
      <c r="D316" s="15" t="s">
        <v>739</v>
      </c>
      <c r="E316" s="16">
        <v>4.366034896E9</v>
      </c>
      <c r="F316" s="15">
        <v>4.180303895E9</v>
      </c>
      <c r="G316" s="15" t="s">
        <v>43</v>
      </c>
      <c r="H316" s="15" t="s">
        <v>740</v>
      </c>
      <c r="I316" s="15" t="s">
        <v>741</v>
      </c>
      <c r="J316" s="16">
        <v>59000.0</v>
      </c>
      <c r="K316" s="16">
        <v>1.0</v>
      </c>
      <c r="L316" s="20"/>
      <c r="M316" s="20"/>
      <c r="N316" s="20"/>
      <c r="O316" s="18"/>
      <c r="P316" s="18"/>
      <c r="Q316" s="18"/>
      <c r="R316" s="18"/>
      <c r="S316" s="18"/>
      <c r="T316" s="18"/>
      <c r="U316" s="18"/>
    </row>
    <row r="317">
      <c r="A317" s="14">
        <f t="shared" si="1"/>
        <v>45968</v>
      </c>
      <c r="B317" s="15" t="s">
        <v>170</v>
      </c>
      <c r="C317" s="15" t="s">
        <v>40</v>
      </c>
      <c r="D317" s="15" t="s">
        <v>742</v>
      </c>
      <c r="E317" s="16">
        <v>2.538885891E9</v>
      </c>
      <c r="F317" s="15" t="s">
        <v>42</v>
      </c>
      <c r="G317" s="15" t="s">
        <v>43</v>
      </c>
      <c r="H317" s="15" t="s">
        <v>743</v>
      </c>
      <c r="I317" s="15" t="s">
        <v>744</v>
      </c>
      <c r="J317" s="16">
        <v>118000.0</v>
      </c>
      <c r="K317" s="16">
        <v>2.0</v>
      </c>
      <c r="L317" s="17">
        <v>45968.71319444444</v>
      </c>
      <c r="M317" s="17">
        <v>45972.54729166667</v>
      </c>
      <c r="N317" s="17">
        <v>45980.063888888886</v>
      </c>
      <c r="O317" s="18"/>
      <c r="P317" s="18"/>
      <c r="Q317" s="18"/>
      <c r="R317" s="18"/>
      <c r="S317" s="18"/>
      <c r="T317" s="18"/>
      <c r="U317" s="18"/>
    </row>
    <row r="318">
      <c r="A318" s="14">
        <f t="shared" si="1"/>
        <v>45968</v>
      </c>
      <c r="B318" s="15" t="s">
        <v>170</v>
      </c>
      <c r="C318" s="15" t="s">
        <v>30</v>
      </c>
      <c r="D318" s="15" t="s">
        <v>745</v>
      </c>
      <c r="E318" s="16">
        <v>4.365944655E9</v>
      </c>
      <c r="F318" s="15">
        <v>4.113888539E9</v>
      </c>
      <c r="G318" s="15" t="s">
        <v>84</v>
      </c>
      <c r="H318" s="15" t="s">
        <v>746</v>
      </c>
      <c r="I318" s="15" t="s">
        <v>746</v>
      </c>
      <c r="J318" s="16">
        <v>14500.0</v>
      </c>
      <c r="K318" s="16">
        <v>1.0</v>
      </c>
      <c r="L318" s="17">
        <v>45968.65898148148</v>
      </c>
      <c r="M318" s="17">
        <v>45973.007314814815</v>
      </c>
      <c r="N318" s="17">
        <v>45974.0</v>
      </c>
      <c r="O318" s="18"/>
      <c r="P318" s="18"/>
      <c r="Q318" s="18"/>
      <c r="R318" s="18"/>
      <c r="S318" s="18"/>
      <c r="T318" s="18"/>
      <c r="U318" s="18"/>
    </row>
    <row r="319">
      <c r="A319" s="14">
        <f t="shared" si="1"/>
        <v>45968</v>
      </c>
      <c r="B319" s="15" t="s">
        <v>170</v>
      </c>
      <c r="C319" s="15" t="s">
        <v>40</v>
      </c>
      <c r="D319" s="15" t="s">
        <v>747</v>
      </c>
      <c r="E319" s="16">
        <v>2.538876378E9</v>
      </c>
      <c r="F319" s="15" t="s">
        <v>226</v>
      </c>
      <c r="G319" s="15" t="s">
        <v>35</v>
      </c>
      <c r="H319" s="15" t="s">
        <v>748</v>
      </c>
      <c r="I319" s="15" t="s">
        <v>748</v>
      </c>
      <c r="J319" s="16">
        <v>65000.0</v>
      </c>
      <c r="K319" s="16">
        <v>1.0</v>
      </c>
      <c r="L319" s="17">
        <v>45968.65138888889</v>
      </c>
      <c r="M319" s="17">
        <v>45972.41881944444</v>
      </c>
      <c r="N319" s="17">
        <v>45974.00277777778</v>
      </c>
      <c r="O319" s="18"/>
      <c r="P319" s="18"/>
      <c r="Q319" s="18"/>
      <c r="R319" s="18"/>
      <c r="S319" s="18"/>
      <c r="T319" s="18"/>
      <c r="U319" s="18"/>
    </row>
    <row r="320">
      <c r="A320" s="14">
        <f t="shared" si="1"/>
        <v>45968</v>
      </c>
      <c r="B320" s="15" t="s">
        <v>170</v>
      </c>
      <c r="C320" s="15" t="s">
        <v>30</v>
      </c>
      <c r="D320" s="15" t="s">
        <v>749</v>
      </c>
      <c r="E320" s="16">
        <v>4.365924949E9</v>
      </c>
      <c r="F320" s="15">
        <v>4.544615334E9</v>
      </c>
      <c r="G320" s="15" t="s">
        <v>469</v>
      </c>
      <c r="H320" s="15" t="s">
        <v>750</v>
      </c>
      <c r="I320" s="15" t="s">
        <v>750</v>
      </c>
      <c r="J320" s="16">
        <v>65000.0</v>
      </c>
      <c r="K320" s="16">
        <v>1.0</v>
      </c>
      <c r="L320" s="17">
        <v>45968.62829861111</v>
      </c>
      <c r="M320" s="17">
        <v>45972.43790509259</v>
      </c>
      <c r="N320" s="17">
        <v>45978.0</v>
      </c>
      <c r="O320" s="18"/>
      <c r="P320" s="18"/>
      <c r="Q320" s="18"/>
      <c r="R320" s="18"/>
      <c r="S320" s="18"/>
      <c r="T320" s="18"/>
      <c r="U320" s="18"/>
    </row>
    <row r="321">
      <c r="A321" s="14">
        <f t="shared" si="1"/>
        <v>45968</v>
      </c>
      <c r="B321" s="15" t="s">
        <v>170</v>
      </c>
      <c r="C321" s="15" t="s">
        <v>30</v>
      </c>
      <c r="D321" s="15" t="s">
        <v>751</v>
      </c>
      <c r="E321" s="16">
        <v>4.365918142E9</v>
      </c>
      <c r="F321" s="15">
        <v>1.784307306E9</v>
      </c>
      <c r="G321" s="15" t="s">
        <v>55</v>
      </c>
      <c r="H321" s="15" t="s">
        <v>752</v>
      </c>
      <c r="I321" s="15" t="s">
        <v>753</v>
      </c>
      <c r="J321" s="16">
        <v>95800.0</v>
      </c>
      <c r="K321" s="16">
        <v>2.0</v>
      </c>
      <c r="L321" s="17">
        <v>45968.6187037037</v>
      </c>
      <c r="M321" s="17">
        <v>45973.486550925925</v>
      </c>
      <c r="N321" s="17">
        <v>45982.0</v>
      </c>
      <c r="O321" s="18"/>
      <c r="P321" s="18"/>
      <c r="Q321" s="18"/>
      <c r="R321" s="18"/>
      <c r="S321" s="18"/>
      <c r="T321" s="18"/>
      <c r="U321" s="18"/>
    </row>
    <row r="322">
      <c r="A322" s="14">
        <f t="shared" si="1"/>
        <v>45968</v>
      </c>
      <c r="B322" s="15" t="s">
        <v>170</v>
      </c>
      <c r="C322" s="15" t="s">
        <v>30</v>
      </c>
      <c r="D322" s="15" t="s">
        <v>754</v>
      </c>
      <c r="E322" s="16">
        <v>4.365909619E9</v>
      </c>
      <c r="F322" s="15">
        <v>2.774671191E9</v>
      </c>
      <c r="G322" s="15" t="s">
        <v>131</v>
      </c>
      <c r="H322" s="15" t="s">
        <v>755</v>
      </c>
      <c r="I322" s="15" t="s">
        <v>756</v>
      </c>
      <c r="J322" s="16">
        <v>72000.0</v>
      </c>
      <c r="K322" s="16">
        <v>1.0</v>
      </c>
      <c r="L322" s="17">
        <v>45968.606944444444</v>
      </c>
      <c r="M322" s="17">
        <v>45972.72258101852</v>
      </c>
      <c r="N322" s="17">
        <v>45981.0</v>
      </c>
      <c r="O322" s="18"/>
      <c r="P322" s="18"/>
      <c r="Q322" s="18"/>
      <c r="R322" s="18"/>
      <c r="S322" s="18"/>
      <c r="T322" s="18"/>
      <c r="U322" s="18"/>
    </row>
    <row r="323">
      <c r="A323" s="14">
        <f t="shared" si="1"/>
        <v>45968</v>
      </c>
      <c r="B323" s="15" t="s">
        <v>170</v>
      </c>
      <c r="C323" s="15" t="s">
        <v>30</v>
      </c>
      <c r="D323" s="15" t="s">
        <v>757</v>
      </c>
      <c r="E323" s="16">
        <v>4.365896635E9</v>
      </c>
      <c r="F323" s="15">
        <v>2.774671191E9</v>
      </c>
      <c r="G323" s="15" t="s">
        <v>131</v>
      </c>
      <c r="H323" s="15" t="s">
        <v>758</v>
      </c>
      <c r="I323" s="15" t="s">
        <v>759</v>
      </c>
      <c r="J323" s="16">
        <v>144000.0</v>
      </c>
      <c r="K323" s="16">
        <v>2.0</v>
      </c>
      <c r="L323" s="17">
        <v>45968.58868055556</v>
      </c>
      <c r="M323" s="17">
        <v>45972.57678240741</v>
      </c>
      <c r="N323" s="17">
        <v>45981.0</v>
      </c>
      <c r="O323" s="18"/>
      <c r="P323" s="18"/>
      <c r="Q323" s="18"/>
      <c r="R323" s="18"/>
      <c r="S323" s="18"/>
      <c r="T323" s="18"/>
      <c r="U323" s="18"/>
    </row>
    <row r="324">
      <c r="A324" s="14">
        <f t="shared" si="1"/>
        <v>45968</v>
      </c>
      <c r="B324" s="15" t="s">
        <v>170</v>
      </c>
      <c r="C324" s="15" t="s">
        <v>30</v>
      </c>
      <c r="D324" s="15" t="s">
        <v>760</v>
      </c>
      <c r="E324" s="16">
        <v>4.365871589E9</v>
      </c>
      <c r="F324" s="15">
        <v>4.547685725E9</v>
      </c>
      <c r="G324" s="15" t="s">
        <v>236</v>
      </c>
      <c r="H324" s="15" t="s">
        <v>761</v>
      </c>
      <c r="I324" s="15" t="s">
        <v>762</v>
      </c>
      <c r="J324" s="16">
        <v>119000.0</v>
      </c>
      <c r="K324" s="16">
        <v>1.0</v>
      </c>
      <c r="L324" s="17">
        <v>45968.55291666667</v>
      </c>
      <c r="M324" s="17">
        <v>45969.66064814815</v>
      </c>
      <c r="N324" s="17">
        <v>45978.0</v>
      </c>
      <c r="O324" s="18"/>
      <c r="P324" s="18"/>
      <c r="Q324" s="18"/>
      <c r="R324" s="18"/>
      <c r="S324" s="18"/>
      <c r="T324" s="18"/>
      <c r="U324" s="18"/>
    </row>
    <row r="325">
      <c r="A325" s="14">
        <f t="shared" si="1"/>
        <v>45968</v>
      </c>
      <c r="B325" s="15" t="s">
        <v>170</v>
      </c>
      <c r="C325" s="15" t="s">
        <v>30</v>
      </c>
      <c r="D325" s="15" t="s">
        <v>760</v>
      </c>
      <c r="E325" s="16">
        <v>4.365867179E9</v>
      </c>
      <c r="F325" s="15">
        <v>4.547685725E9</v>
      </c>
      <c r="G325" s="15" t="s">
        <v>236</v>
      </c>
      <c r="H325" s="15" t="s">
        <v>761</v>
      </c>
      <c r="I325" s="15" t="s">
        <v>761</v>
      </c>
      <c r="J325" s="16">
        <v>119000.0</v>
      </c>
      <c r="K325" s="16">
        <v>1.0</v>
      </c>
      <c r="L325" s="17">
        <v>45968.54638888889</v>
      </c>
      <c r="M325" s="17">
        <v>45969.42449074074</v>
      </c>
      <c r="N325" s="17">
        <v>45978.0</v>
      </c>
      <c r="O325" s="18"/>
      <c r="P325" s="18"/>
      <c r="Q325" s="18"/>
      <c r="R325" s="18"/>
      <c r="S325" s="18"/>
      <c r="T325" s="18"/>
      <c r="U325" s="18"/>
    </row>
    <row r="326">
      <c r="A326" s="14">
        <f t="shared" si="1"/>
        <v>693961</v>
      </c>
      <c r="B326" s="15" t="s">
        <v>304</v>
      </c>
      <c r="C326" s="15" t="s">
        <v>40</v>
      </c>
      <c r="D326" s="15" t="s">
        <v>763</v>
      </c>
      <c r="E326" s="16">
        <v>2.538854185E9</v>
      </c>
      <c r="F326" s="15" t="s">
        <v>764</v>
      </c>
      <c r="G326" s="15" t="s">
        <v>81</v>
      </c>
      <c r="H326" s="15" t="s">
        <v>765</v>
      </c>
      <c r="I326" s="15" t="s">
        <v>765</v>
      </c>
      <c r="J326" s="16">
        <v>27209.0</v>
      </c>
      <c r="K326" s="16">
        <v>1.0</v>
      </c>
      <c r="L326" s="20"/>
      <c r="M326" s="20"/>
      <c r="N326" s="20"/>
      <c r="O326" s="18"/>
      <c r="P326" s="18"/>
      <c r="Q326" s="18"/>
      <c r="R326" s="18"/>
      <c r="S326" s="18"/>
      <c r="T326" s="18"/>
      <c r="U326" s="18"/>
    </row>
    <row r="327">
      <c r="A327" s="14">
        <f t="shared" si="1"/>
        <v>45968</v>
      </c>
      <c r="B327" s="15" t="s">
        <v>170</v>
      </c>
      <c r="C327" s="15" t="s">
        <v>30</v>
      </c>
      <c r="D327" s="15" t="s">
        <v>766</v>
      </c>
      <c r="E327" s="16">
        <v>4.365795691E9</v>
      </c>
      <c r="F327" s="15">
        <v>4.180303895E9</v>
      </c>
      <c r="G327" s="15" t="s">
        <v>43</v>
      </c>
      <c r="H327" s="15" t="s">
        <v>767</v>
      </c>
      <c r="I327" s="15" t="s">
        <v>767</v>
      </c>
      <c r="J327" s="16">
        <v>59000.0</v>
      </c>
      <c r="K327" s="16">
        <v>1.0</v>
      </c>
      <c r="L327" s="17">
        <v>45968.44938657407</v>
      </c>
      <c r="M327" s="17">
        <v>45969.542650462965</v>
      </c>
      <c r="N327" s="17">
        <v>45978.0</v>
      </c>
      <c r="O327" s="18"/>
      <c r="P327" s="18"/>
      <c r="Q327" s="18"/>
      <c r="R327" s="18"/>
      <c r="S327" s="18"/>
      <c r="T327" s="18"/>
      <c r="U327" s="18"/>
    </row>
    <row r="328">
      <c r="A328" s="14">
        <f t="shared" si="1"/>
        <v>45968</v>
      </c>
      <c r="B328" s="15" t="s">
        <v>170</v>
      </c>
      <c r="C328" s="15" t="s">
        <v>30</v>
      </c>
      <c r="D328" s="15" t="s">
        <v>768</v>
      </c>
      <c r="E328" s="16">
        <v>4.36573003E9</v>
      </c>
      <c r="F328" s="15">
        <v>4.180303895E9</v>
      </c>
      <c r="G328" s="15" t="s">
        <v>43</v>
      </c>
      <c r="H328" s="15" t="s">
        <v>769</v>
      </c>
      <c r="I328" s="15" t="s">
        <v>769</v>
      </c>
      <c r="J328" s="16">
        <v>118000.0</v>
      </c>
      <c r="K328" s="16">
        <v>2.0</v>
      </c>
      <c r="L328" s="17">
        <v>45968.367800925924</v>
      </c>
      <c r="M328" s="17">
        <v>45969.66070601852</v>
      </c>
      <c r="N328" s="17">
        <v>45978.0</v>
      </c>
      <c r="O328" s="18"/>
      <c r="P328" s="18"/>
      <c r="Q328" s="18"/>
      <c r="R328" s="18"/>
      <c r="S328" s="18"/>
      <c r="T328" s="18"/>
      <c r="U328" s="18"/>
    </row>
    <row r="329">
      <c r="A329" s="14">
        <f t="shared" si="1"/>
        <v>45968</v>
      </c>
      <c r="B329" s="15" t="s">
        <v>170</v>
      </c>
      <c r="C329" s="15" t="s">
        <v>30</v>
      </c>
      <c r="D329" s="15" t="s">
        <v>770</v>
      </c>
      <c r="E329" s="16">
        <v>4.365711688E9</v>
      </c>
      <c r="F329" s="15">
        <v>4.180303895E9</v>
      </c>
      <c r="G329" s="15" t="s">
        <v>43</v>
      </c>
      <c r="H329" s="15" t="s">
        <v>771</v>
      </c>
      <c r="I329" s="15" t="s">
        <v>771</v>
      </c>
      <c r="J329" s="16">
        <v>59000.0</v>
      </c>
      <c r="K329" s="16">
        <v>1.0</v>
      </c>
      <c r="L329" s="17">
        <v>45968.33261574074</v>
      </c>
      <c r="M329" s="17">
        <v>45969.584375</v>
      </c>
      <c r="N329" s="17">
        <v>45978.0</v>
      </c>
      <c r="O329" s="18"/>
      <c r="P329" s="18"/>
      <c r="Q329" s="18"/>
      <c r="R329" s="18"/>
      <c r="S329" s="18"/>
      <c r="T329" s="18"/>
      <c r="U329" s="18"/>
    </row>
    <row r="330">
      <c r="A330" s="14">
        <f t="shared" si="1"/>
        <v>45967</v>
      </c>
      <c r="B330" s="15" t="s">
        <v>170</v>
      </c>
      <c r="C330" s="15" t="s">
        <v>30</v>
      </c>
      <c r="D330" s="15" t="s">
        <v>772</v>
      </c>
      <c r="E330" s="16">
        <v>4.365639245E9</v>
      </c>
      <c r="F330" s="15">
        <v>4.180303895E9</v>
      </c>
      <c r="G330" s="15" t="s">
        <v>43</v>
      </c>
      <c r="H330" s="15" t="s">
        <v>773</v>
      </c>
      <c r="I330" s="15" t="s">
        <v>773</v>
      </c>
      <c r="J330" s="16">
        <v>59000.0</v>
      </c>
      <c r="K330" s="16">
        <v>1.0</v>
      </c>
      <c r="L330" s="17">
        <v>45967.9871875</v>
      </c>
      <c r="M330" s="17">
        <v>45969.674733796295</v>
      </c>
      <c r="N330" s="17">
        <v>45978.0</v>
      </c>
      <c r="O330" s="18"/>
      <c r="P330" s="18"/>
      <c r="Q330" s="18"/>
      <c r="R330" s="18"/>
      <c r="S330" s="18"/>
      <c r="T330" s="18"/>
      <c r="U330" s="18"/>
    </row>
    <row r="331">
      <c r="A331" s="14">
        <f t="shared" si="1"/>
        <v>45967</v>
      </c>
      <c r="B331" s="15" t="s">
        <v>170</v>
      </c>
      <c r="C331" s="15" t="s">
        <v>30</v>
      </c>
      <c r="D331" s="15" t="s">
        <v>774</v>
      </c>
      <c r="E331" s="16">
        <v>4.365616586E9</v>
      </c>
      <c r="F331" s="15">
        <v>2.702301401E9</v>
      </c>
      <c r="G331" s="15" t="s">
        <v>81</v>
      </c>
      <c r="H331" s="15" t="s">
        <v>775</v>
      </c>
      <c r="I331" s="15" t="s">
        <v>775</v>
      </c>
      <c r="J331" s="16">
        <v>29900.0</v>
      </c>
      <c r="K331" s="16">
        <v>1.0</v>
      </c>
      <c r="L331" s="17">
        <v>45967.95533564815</v>
      </c>
      <c r="M331" s="17">
        <v>45969.67454861111</v>
      </c>
      <c r="N331" s="17">
        <v>45978.0</v>
      </c>
      <c r="O331" s="18"/>
      <c r="P331" s="18"/>
      <c r="Q331" s="18"/>
      <c r="R331" s="18"/>
      <c r="S331" s="18"/>
      <c r="T331" s="18"/>
      <c r="U331" s="18"/>
    </row>
    <row r="332">
      <c r="A332" s="14">
        <f t="shared" si="1"/>
        <v>45967</v>
      </c>
      <c r="B332" s="15" t="s">
        <v>47</v>
      </c>
      <c r="C332" s="15" t="s">
        <v>30</v>
      </c>
      <c r="D332" s="15" t="s">
        <v>776</v>
      </c>
      <c r="E332" s="16">
        <v>4.365606881E9</v>
      </c>
      <c r="F332" s="15">
        <v>4.180306338E9</v>
      </c>
      <c r="G332" s="15" t="s">
        <v>35</v>
      </c>
      <c r="H332" s="15" t="s">
        <v>777</v>
      </c>
      <c r="I332" s="15" t="s">
        <v>777</v>
      </c>
      <c r="J332" s="16">
        <v>130000.0</v>
      </c>
      <c r="K332" s="16">
        <v>2.0</v>
      </c>
      <c r="L332" s="17">
        <v>45967.942708333336</v>
      </c>
      <c r="M332" s="20"/>
      <c r="N332" s="20"/>
      <c r="O332" s="18"/>
      <c r="P332" s="18"/>
      <c r="Q332" s="18"/>
      <c r="R332" s="18"/>
      <c r="S332" s="18"/>
      <c r="T332" s="18"/>
      <c r="U332" s="18"/>
    </row>
    <row r="333">
      <c r="A333" s="14">
        <f t="shared" si="1"/>
        <v>45967</v>
      </c>
      <c r="B333" s="15" t="s">
        <v>170</v>
      </c>
      <c r="C333" s="15" t="s">
        <v>30</v>
      </c>
      <c r="D333" s="15" t="s">
        <v>285</v>
      </c>
      <c r="E333" s="16">
        <v>4.365587995E9</v>
      </c>
      <c r="F333" s="15">
        <v>4.180303895E9</v>
      </c>
      <c r="G333" s="15" t="s">
        <v>43</v>
      </c>
      <c r="H333" s="15" t="s">
        <v>286</v>
      </c>
      <c r="I333" s="15" t="s">
        <v>286</v>
      </c>
      <c r="J333" s="16">
        <v>59000.0</v>
      </c>
      <c r="K333" s="16">
        <v>1.0</v>
      </c>
      <c r="L333" s="17">
        <v>45967.91831018519</v>
      </c>
      <c r="M333" s="17">
        <v>45969.63313657408</v>
      </c>
      <c r="N333" s="17">
        <v>45978.0</v>
      </c>
      <c r="O333" s="18"/>
      <c r="P333" s="18"/>
      <c r="Q333" s="18"/>
      <c r="R333" s="18"/>
      <c r="S333" s="18"/>
      <c r="T333" s="18"/>
      <c r="U333" s="18"/>
    </row>
    <row r="334">
      <c r="A334" s="14">
        <f t="shared" si="1"/>
        <v>45967</v>
      </c>
      <c r="B334" s="15" t="s">
        <v>47</v>
      </c>
      <c r="C334" s="15" t="s">
        <v>30</v>
      </c>
      <c r="D334" s="15" t="s">
        <v>778</v>
      </c>
      <c r="E334" s="16">
        <v>4.365581155E9</v>
      </c>
      <c r="F334" s="15">
        <v>4.180303895E9</v>
      </c>
      <c r="G334" s="15" t="s">
        <v>43</v>
      </c>
      <c r="H334" s="15" t="s">
        <v>779</v>
      </c>
      <c r="I334" s="15" t="s">
        <v>779</v>
      </c>
      <c r="J334" s="16">
        <v>59000.0</v>
      </c>
      <c r="K334" s="16">
        <v>1.0</v>
      </c>
      <c r="L334" s="17">
        <v>45967.909317129626</v>
      </c>
      <c r="M334" s="20"/>
      <c r="N334" s="20"/>
      <c r="O334" s="18"/>
      <c r="P334" s="18"/>
      <c r="Q334" s="18"/>
      <c r="R334" s="18"/>
      <c r="S334" s="18"/>
      <c r="T334" s="18"/>
      <c r="U334" s="18"/>
    </row>
    <row r="335">
      <c r="A335" s="14">
        <f t="shared" si="1"/>
        <v>45967</v>
      </c>
      <c r="B335" s="15" t="s">
        <v>170</v>
      </c>
      <c r="C335" s="15" t="s">
        <v>30</v>
      </c>
      <c r="D335" s="15" t="s">
        <v>780</v>
      </c>
      <c r="E335" s="16">
        <v>4.365577917E9</v>
      </c>
      <c r="F335" s="15">
        <v>4.180303895E9</v>
      </c>
      <c r="G335" s="15" t="s">
        <v>43</v>
      </c>
      <c r="H335" s="15" t="s">
        <v>781</v>
      </c>
      <c r="I335" s="15" t="s">
        <v>781</v>
      </c>
      <c r="J335" s="16">
        <v>59000.0</v>
      </c>
      <c r="K335" s="16">
        <v>1.0</v>
      </c>
      <c r="L335" s="17">
        <v>45967.905</v>
      </c>
      <c r="M335" s="17">
        <v>45969.63291666667</v>
      </c>
      <c r="N335" s="17">
        <v>45978.0</v>
      </c>
      <c r="O335" s="18"/>
      <c r="P335" s="18"/>
      <c r="Q335" s="18"/>
      <c r="R335" s="18"/>
      <c r="S335" s="18"/>
      <c r="T335" s="18"/>
      <c r="U335" s="18"/>
    </row>
    <row r="336">
      <c r="A336" s="14">
        <f t="shared" si="1"/>
        <v>45967</v>
      </c>
      <c r="B336" s="15" t="s">
        <v>170</v>
      </c>
      <c r="C336" s="15" t="s">
        <v>30</v>
      </c>
      <c r="D336" s="15" t="s">
        <v>782</v>
      </c>
      <c r="E336" s="16">
        <v>4.365573746E9</v>
      </c>
      <c r="F336" s="15">
        <v>4.547685725E9</v>
      </c>
      <c r="G336" s="15" t="s">
        <v>236</v>
      </c>
      <c r="H336" s="15" t="s">
        <v>783</v>
      </c>
      <c r="I336" s="15" t="s">
        <v>783</v>
      </c>
      <c r="J336" s="16">
        <v>119000.0</v>
      </c>
      <c r="K336" s="16">
        <v>1.0</v>
      </c>
      <c r="L336" s="17">
        <v>45967.89939814815</v>
      </c>
      <c r="M336" s="17">
        <v>45969.58423611111</v>
      </c>
      <c r="N336" s="17">
        <v>45978.0</v>
      </c>
      <c r="O336" s="18"/>
      <c r="P336" s="18"/>
      <c r="Q336" s="18"/>
      <c r="R336" s="18"/>
      <c r="S336" s="18"/>
      <c r="T336" s="18"/>
      <c r="U336" s="18"/>
    </row>
    <row r="337">
      <c r="A337" s="14">
        <f t="shared" si="1"/>
        <v>45967</v>
      </c>
      <c r="B337" s="15" t="s">
        <v>170</v>
      </c>
      <c r="C337" s="15" t="s">
        <v>30</v>
      </c>
      <c r="D337" s="15" t="s">
        <v>784</v>
      </c>
      <c r="E337" s="16">
        <v>4.365571467E9</v>
      </c>
      <c r="F337" s="15">
        <v>4.547685725E9</v>
      </c>
      <c r="G337" s="15" t="s">
        <v>236</v>
      </c>
      <c r="H337" s="15" t="s">
        <v>785</v>
      </c>
      <c r="I337" s="15" t="s">
        <v>785</v>
      </c>
      <c r="J337" s="16">
        <v>238000.0</v>
      </c>
      <c r="K337" s="16">
        <v>2.0</v>
      </c>
      <c r="L337" s="17">
        <v>45967.89625</v>
      </c>
      <c r="M337" s="17">
        <v>45969.542546296296</v>
      </c>
      <c r="N337" s="17">
        <v>45978.0</v>
      </c>
      <c r="O337" s="18"/>
      <c r="P337" s="18"/>
      <c r="Q337" s="18"/>
      <c r="R337" s="18"/>
      <c r="S337" s="18"/>
      <c r="T337" s="18"/>
      <c r="U337" s="18"/>
    </row>
    <row r="338">
      <c r="A338" s="14">
        <f t="shared" si="1"/>
        <v>45967</v>
      </c>
      <c r="B338" s="15" t="s">
        <v>170</v>
      </c>
      <c r="C338" s="15" t="s">
        <v>40</v>
      </c>
      <c r="D338" s="15" t="s">
        <v>786</v>
      </c>
      <c r="E338" s="16">
        <v>2.538764099E9</v>
      </c>
      <c r="F338" s="15" t="s">
        <v>42</v>
      </c>
      <c r="G338" s="15" t="s">
        <v>43</v>
      </c>
      <c r="H338" s="15" t="s">
        <v>787</v>
      </c>
      <c r="I338" s="15" t="s">
        <v>787</v>
      </c>
      <c r="J338" s="16">
        <v>59000.0</v>
      </c>
      <c r="K338" s="16">
        <v>1.0</v>
      </c>
      <c r="L338" s="17">
        <v>45967.816666666666</v>
      </c>
      <c r="M338" s="17">
        <v>45969.58663194445</v>
      </c>
      <c r="N338" s="17">
        <v>45977.05902777778</v>
      </c>
      <c r="O338" s="18"/>
      <c r="P338" s="18"/>
      <c r="Q338" s="18"/>
      <c r="R338" s="18"/>
      <c r="S338" s="18"/>
      <c r="T338" s="18"/>
      <c r="U338" s="18"/>
    </row>
    <row r="339">
      <c r="A339" s="14">
        <f t="shared" si="1"/>
        <v>45967</v>
      </c>
      <c r="B339" s="15" t="s">
        <v>170</v>
      </c>
      <c r="C339" s="15" t="s">
        <v>30</v>
      </c>
      <c r="D339" s="15" t="s">
        <v>788</v>
      </c>
      <c r="E339" s="16">
        <v>4.365494769E9</v>
      </c>
      <c r="F339" s="15">
        <v>4.180303895E9</v>
      </c>
      <c r="G339" s="15" t="s">
        <v>43</v>
      </c>
      <c r="H339" s="15" t="s">
        <v>789</v>
      </c>
      <c r="I339" s="15" t="s">
        <v>789</v>
      </c>
      <c r="J339" s="16">
        <v>59000.0</v>
      </c>
      <c r="K339" s="16">
        <v>1.0</v>
      </c>
      <c r="L339" s="17">
        <v>45967.77337962963</v>
      </c>
      <c r="M339" s="17">
        <v>45969.66783564815</v>
      </c>
      <c r="N339" s="17">
        <v>45978.0</v>
      </c>
      <c r="O339" s="18"/>
      <c r="P339" s="18"/>
      <c r="Q339" s="18"/>
      <c r="R339" s="18"/>
      <c r="S339" s="18"/>
      <c r="T339" s="18"/>
      <c r="U339" s="18"/>
    </row>
    <row r="340">
      <c r="A340" s="14">
        <f t="shared" si="1"/>
        <v>45967</v>
      </c>
      <c r="B340" s="15" t="s">
        <v>170</v>
      </c>
      <c r="C340" s="15" t="s">
        <v>40</v>
      </c>
      <c r="D340" s="15" t="s">
        <v>790</v>
      </c>
      <c r="E340" s="16">
        <v>2.538754317E9</v>
      </c>
      <c r="F340" s="15" t="s">
        <v>42</v>
      </c>
      <c r="G340" s="15" t="s">
        <v>43</v>
      </c>
      <c r="H340" s="15" t="s">
        <v>791</v>
      </c>
      <c r="I340" s="15" t="s">
        <v>791</v>
      </c>
      <c r="J340" s="16">
        <v>59000.0</v>
      </c>
      <c r="K340" s="16">
        <v>1.0</v>
      </c>
      <c r="L340" s="17">
        <v>45967.754166666666</v>
      </c>
      <c r="M340" s="17">
        <v>45969.499710648146</v>
      </c>
      <c r="N340" s="17">
        <v>45970.63888888889</v>
      </c>
      <c r="O340" s="18"/>
      <c r="P340" s="18"/>
      <c r="Q340" s="18"/>
      <c r="R340" s="18"/>
      <c r="S340" s="18"/>
      <c r="T340" s="18"/>
      <c r="U340" s="18"/>
    </row>
    <row r="341">
      <c r="A341" s="14">
        <f t="shared" si="1"/>
        <v>45967</v>
      </c>
      <c r="B341" s="15" t="s">
        <v>170</v>
      </c>
      <c r="C341" s="15" t="s">
        <v>30</v>
      </c>
      <c r="D341" s="15" t="s">
        <v>792</v>
      </c>
      <c r="E341" s="16">
        <v>4.365475339E9</v>
      </c>
      <c r="F341" s="15">
        <v>4.544683185E9</v>
      </c>
      <c r="G341" s="15" t="s">
        <v>564</v>
      </c>
      <c r="H341" s="15" t="s">
        <v>793</v>
      </c>
      <c r="I341" s="15" t="s">
        <v>793</v>
      </c>
      <c r="J341" s="16">
        <v>119000.0</v>
      </c>
      <c r="K341" s="16">
        <v>1.0</v>
      </c>
      <c r="L341" s="17">
        <v>45967.73604166666</v>
      </c>
      <c r="M341" s="17">
        <v>45970.541921296295</v>
      </c>
      <c r="N341" s="17">
        <v>45971.0</v>
      </c>
      <c r="O341" s="18"/>
      <c r="P341" s="18"/>
      <c r="Q341" s="18"/>
      <c r="R341" s="18"/>
      <c r="S341" s="18"/>
      <c r="T341" s="18"/>
      <c r="U341" s="18"/>
    </row>
    <row r="342">
      <c r="A342" s="14">
        <f t="shared" si="1"/>
        <v>45967</v>
      </c>
      <c r="B342" s="15" t="s">
        <v>170</v>
      </c>
      <c r="C342" s="15" t="s">
        <v>30</v>
      </c>
      <c r="D342" s="15" t="s">
        <v>794</v>
      </c>
      <c r="E342" s="16">
        <v>4.365366514E9</v>
      </c>
      <c r="F342" s="15">
        <v>4.180306338E9</v>
      </c>
      <c r="G342" s="15" t="s">
        <v>35</v>
      </c>
      <c r="H342" s="15" t="s">
        <v>795</v>
      </c>
      <c r="I342" s="15" t="s">
        <v>795</v>
      </c>
      <c r="J342" s="16">
        <v>65000.0</v>
      </c>
      <c r="K342" s="16">
        <v>1.0</v>
      </c>
      <c r="L342" s="17">
        <v>45967.59012731481</v>
      </c>
      <c r="M342" s="17">
        <v>45969.605358796296</v>
      </c>
      <c r="N342" s="17">
        <v>45978.0</v>
      </c>
      <c r="O342" s="18"/>
      <c r="P342" s="18"/>
      <c r="Q342" s="18"/>
      <c r="R342" s="18"/>
      <c r="S342" s="18"/>
      <c r="T342" s="18"/>
      <c r="U342" s="18"/>
    </row>
    <row r="343">
      <c r="A343" s="14">
        <f t="shared" si="1"/>
        <v>45967</v>
      </c>
      <c r="B343" s="15" t="s">
        <v>170</v>
      </c>
      <c r="C343" s="15" t="s">
        <v>30</v>
      </c>
      <c r="D343" s="15" t="s">
        <v>794</v>
      </c>
      <c r="E343" s="16">
        <v>4.365366513E9</v>
      </c>
      <c r="F343" s="15">
        <v>4.180303895E9</v>
      </c>
      <c r="G343" s="15" t="s">
        <v>43</v>
      </c>
      <c r="H343" s="15" t="s">
        <v>795</v>
      </c>
      <c r="I343" s="15" t="s">
        <v>795</v>
      </c>
      <c r="J343" s="16">
        <v>59000.0</v>
      </c>
      <c r="K343" s="16">
        <v>1.0</v>
      </c>
      <c r="L343" s="17">
        <v>45967.59012731481</v>
      </c>
      <c r="M343" s="17">
        <v>45969.591469907406</v>
      </c>
      <c r="N343" s="17">
        <v>45978.0</v>
      </c>
      <c r="O343" s="18"/>
      <c r="P343" s="18"/>
      <c r="Q343" s="18"/>
      <c r="R343" s="18"/>
      <c r="S343" s="18"/>
      <c r="T343" s="18"/>
      <c r="U343" s="18"/>
    </row>
    <row r="344">
      <c r="A344" s="14">
        <f t="shared" si="1"/>
        <v>45967</v>
      </c>
      <c r="B344" s="15" t="s">
        <v>170</v>
      </c>
      <c r="C344" s="15" t="s">
        <v>30</v>
      </c>
      <c r="D344" s="15" t="s">
        <v>796</v>
      </c>
      <c r="E344" s="16">
        <v>4.365361436E9</v>
      </c>
      <c r="F344" s="15">
        <v>4.180303895E9</v>
      </c>
      <c r="G344" s="15" t="s">
        <v>43</v>
      </c>
      <c r="H344" s="15" t="s">
        <v>797</v>
      </c>
      <c r="I344" s="15" t="s">
        <v>798</v>
      </c>
      <c r="J344" s="16">
        <v>59000.0</v>
      </c>
      <c r="K344" s="16">
        <v>1.0</v>
      </c>
      <c r="L344" s="17">
        <v>45967.58436342593</v>
      </c>
      <c r="M344" s="17">
        <v>45969.75791666667</v>
      </c>
      <c r="N344" s="17">
        <v>45974.0</v>
      </c>
      <c r="O344" s="18"/>
      <c r="P344" s="18"/>
      <c r="Q344" s="18"/>
      <c r="R344" s="18"/>
      <c r="S344" s="18"/>
      <c r="T344" s="18"/>
      <c r="U344" s="18"/>
    </row>
    <row r="345">
      <c r="A345" s="14">
        <f t="shared" si="1"/>
        <v>45967</v>
      </c>
      <c r="B345" s="15" t="s">
        <v>170</v>
      </c>
      <c r="C345" s="15" t="s">
        <v>30</v>
      </c>
      <c r="D345" s="15" t="s">
        <v>799</v>
      </c>
      <c r="E345" s="16">
        <v>4.365350802E9</v>
      </c>
      <c r="F345" s="15">
        <v>4.180303895E9</v>
      </c>
      <c r="G345" s="15" t="s">
        <v>43</v>
      </c>
      <c r="H345" s="15" t="s">
        <v>800</v>
      </c>
      <c r="I345" s="15" t="s">
        <v>800</v>
      </c>
      <c r="J345" s="16">
        <v>118000.0</v>
      </c>
      <c r="K345" s="16">
        <v>2.0</v>
      </c>
      <c r="L345" s="17">
        <v>45967.57231481482</v>
      </c>
      <c r="M345" s="17">
        <v>45968.68170138889</v>
      </c>
      <c r="N345" s="17">
        <v>45978.0</v>
      </c>
      <c r="O345" s="18"/>
      <c r="P345" s="18"/>
      <c r="Q345" s="18"/>
      <c r="R345" s="18"/>
      <c r="S345" s="18"/>
      <c r="T345" s="18"/>
      <c r="U345" s="18"/>
    </row>
    <row r="346">
      <c r="A346" s="14">
        <f t="shared" si="1"/>
        <v>45967</v>
      </c>
      <c r="B346" s="15" t="s">
        <v>170</v>
      </c>
      <c r="C346" s="15" t="s">
        <v>30</v>
      </c>
      <c r="D346" s="15" t="s">
        <v>801</v>
      </c>
      <c r="E346" s="16">
        <v>4.365346507E9</v>
      </c>
      <c r="F346" s="15">
        <v>4.544683185E9</v>
      </c>
      <c r="G346" s="15" t="s">
        <v>564</v>
      </c>
      <c r="H346" s="15" t="s">
        <v>802</v>
      </c>
      <c r="I346" s="15" t="s">
        <v>802</v>
      </c>
      <c r="J346" s="16">
        <v>119000.0</v>
      </c>
      <c r="K346" s="16">
        <v>1.0</v>
      </c>
      <c r="L346" s="17">
        <v>45967.56756944444</v>
      </c>
      <c r="M346" s="17">
        <v>45968.54954861111</v>
      </c>
      <c r="N346" s="17">
        <v>45978.0</v>
      </c>
      <c r="O346" s="18"/>
      <c r="P346" s="18"/>
      <c r="Q346" s="18"/>
      <c r="R346" s="18"/>
      <c r="S346" s="18"/>
      <c r="T346" s="18"/>
      <c r="U346" s="18"/>
    </row>
    <row r="347">
      <c r="A347" s="14">
        <f t="shared" si="1"/>
        <v>45967</v>
      </c>
      <c r="B347" s="15" t="s">
        <v>170</v>
      </c>
      <c r="C347" s="15" t="s">
        <v>30</v>
      </c>
      <c r="D347" s="15" t="s">
        <v>803</v>
      </c>
      <c r="E347" s="16">
        <v>4.365315037E9</v>
      </c>
      <c r="F347" s="15">
        <v>4.180347851E9</v>
      </c>
      <c r="G347" s="15" t="s">
        <v>264</v>
      </c>
      <c r="H347" s="15" t="s">
        <v>804</v>
      </c>
      <c r="I347" s="15" t="s">
        <v>804</v>
      </c>
      <c r="J347" s="16">
        <v>119000.0</v>
      </c>
      <c r="K347" s="16">
        <v>1.0</v>
      </c>
      <c r="L347" s="17">
        <v>45967.53087962963</v>
      </c>
      <c r="M347" s="17">
        <v>45969.54269675926</v>
      </c>
      <c r="N347" s="17">
        <v>45971.0</v>
      </c>
      <c r="O347" s="18"/>
      <c r="P347" s="18"/>
      <c r="Q347" s="18"/>
      <c r="R347" s="18"/>
      <c r="S347" s="18"/>
      <c r="T347" s="18"/>
      <c r="U347" s="18"/>
    </row>
    <row r="348">
      <c r="A348" s="14">
        <f t="shared" si="1"/>
        <v>45967</v>
      </c>
      <c r="B348" s="15" t="s">
        <v>170</v>
      </c>
      <c r="C348" s="15" t="s">
        <v>30</v>
      </c>
      <c r="D348" s="15" t="s">
        <v>805</v>
      </c>
      <c r="E348" s="16">
        <v>4.365306843E9</v>
      </c>
      <c r="F348" s="15">
        <v>4.180303895E9</v>
      </c>
      <c r="G348" s="15" t="s">
        <v>43</v>
      </c>
      <c r="H348" s="15" t="s">
        <v>806</v>
      </c>
      <c r="I348" s="15" t="s">
        <v>807</v>
      </c>
      <c r="J348" s="16">
        <v>1416000.0</v>
      </c>
      <c r="K348" s="16">
        <v>24.0</v>
      </c>
      <c r="L348" s="17">
        <v>45967.51998842593</v>
      </c>
      <c r="M348" s="17">
        <v>45969.54960648148</v>
      </c>
      <c r="N348" s="17">
        <v>45978.0</v>
      </c>
      <c r="O348" s="18"/>
      <c r="P348" s="18"/>
      <c r="Q348" s="18"/>
      <c r="R348" s="18"/>
      <c r="S348" s="18"/>
      <c r="T348" s="18"/>
      <c r="U348" s="18"/>
    </row>
    <row r="349">
      <c r="A349" s="14">
        <f t="shared" si="1"/>
        <v>45967</v>
      </c>
      <c r="B349" s="15" t="s">
        <v>170</v>
      </c>
      <c r="C349" s="15" t="s">
        <v>40</v>
      </c>
      <c r="D349" s="15" t="s">
        <v>808</v>
      </c>
      <c r="E349" s="16">
        <v>2.53870658E9</v>
      </c>
      <c r="F349" s="15" t="s">
        <v>42</v>
      </c>
      <c r="G349" s="15" t="s">
        <v>43</v>
      </c>
      <c r="H349" s="15" t="s">
        <v>809</v>
      </c>
      <c r="I349" s="15" t="s">
        <v>809</v>
      </c>
      <c r="J349" s="16">
        <v>59000.0</v>
      </c>
      <c r="K349" s="16">
        <v>1.0</v>
      </c>
      <c r="L349" s="17">
        <v>45967.50069444445</v>
      </c>
      <c r="M349" s="17">
        <v>45968.59142361111</v>
      </c>
      <c r="N349" s="17">
        <v>45976.100694444445</v>
      </c>
      <c r="O349" s="18"/>
      <c r="P349" s="18"/>
      <c r="Q349" s="18"/>
      <c r="R349" s="18"/>
      <c r="S349" s="18"/>
      <c r="T349" s="18"/>
      <c r="U349" s="18"/>
    </row>
    <row r="350">
      <c r="A350" s="14">
        <f t="shared" si="1"/>
        <v>45967</v>
      </c>
      <c r="B350" s="15" t="s">
        <v>170</v>
      </c>
      <c r="C350" s="15" t="s">
        <v>30</v>
      </c>
      <c r="D350" s="15" t="s">
        <v>810</v>
      </c>
      <c r="E350" s="16">
        <v>4.36524972E9</v>
      </c>
      <c r="F350" s="15">
        <v>4.544628416E9</v>
      </c>
      <c r="G350" s="15" t="s">
        <v>811</v>
      </c>
      <c r="H350" s="15" t="s">
        <v>812</v>
      </c>
      <c r="I350" s="15" t="s">
        <v>812</v>
      </c>
      <c r="J350" s="16">
        <v>69000.0</v>
      </c>
      <c r="K350" s="16">
        <v>1.0</v>
      </c>
      <c r="L350" s="17">
        <v>45967.45381944445</v>
      </c>
      <c r="M350" s="17">
        <v>45968.640069444446</v>
      </c>
      <c r="N350" s="17">
        <v>45978.0</v>
      </c>
      <c r="O350" s="18"/>
      <c r="P350" s="18"/>
      <c r="Q350" s="18"/>
      <c r="R350" s="18"/>
      <c r="S350" s="18"/>
      <c r="T350" s="18"/>
      <c r="U350" s="18"/>
    </row>
    <row r="351">
      <c r="A351" s="14">
        <f t="shared" si="1"/>
        <v>45967</v>
      </c>
      <c r="B351" s="15" t="s">
        <v>170</v>
      </c>
      <c r="C351" s="15" t="s">
        <v>30</v>
      </c>
      <c r="D351" s="15" t="s">
        <v>810</v>
      </c>
      <c r="E351" s="16">
        <v>4.365249721E9</v>
      </c>
      <c r="F351" s="15">
        <v>4.544699629E9</v>
      </c>
      <c r="G351" s="15" t="s">
        <v>212</v>
      </c>
      <c r="H351" s="15" t="s">
        <v>812</v>
      </c>
      <c r="I351" s="15" t="s">
        <v>812</v>
      </c>
      <c r="J351" s="16">
        <v>145000.0</v>
      </c>
      <c r="K351" s="16">
        <v>1.0</v>
      </c>
      <c r="L351" s="17">
        <v>45967.45381944445</v>
      </c>
      <c r="M351" s="17">
        <v>45968.674629629626</v>
      </c>
      <c r="N351" s="17">
        <v>45978.0</v>
      </c>
      <c r="O351" s="18"/>
      <c r="P351" s="18"/>
      <c r="Q351" s="18"/>
      <c r="R351" s="18"/>
      <c r="S351" s="18"/>
      <c r="T351" s="18"/>
      <c r="U351" s="18"/>
    </row>
    <row r="352">
      <c r="A352" s="14">
        <f t="shared" si="1"/>
        <v>45967</v>
      </c>
      <c r="B352" s="15" t="s">
        <v>170</v>
      </c>
      <c r="C352" s="15" t="s">
        <v>30</v>
      </c>
      <c r="D352" s="15" t="s">
        <v>813</v>
      </c>
      <c r="E352" s="16">
        <v>4.365196539E9</v>
      </c>
      <c r="F352" s="15">
        <v>4.180303895E9</v>
      </c>
      <c r="G352" s="15" t="s">
        <v>43</v>
      </c>
      <c r="H352" s="15" t="s">
        <v>814</v>
      </c>
      <c r="I352" s="15" t="s">
        <v>814</v>
      </c>
      <c r="J352" s="16">
        <v>118000.0</v>
      </c>
      <c r="K352" s="16">
        <v>2.0</v>
      </c>
      <c r="L352" s="17">
        <v>45967.396944444445</v>
      </c>
      <c r="M352" s="17">
        <v>45968.639965277776</v>
      </c>
      <c r="N352" s="17">
        <v>45971.0</v>
      </c>
      <c r="O352" s="18"/>
      <c r="P352" s="18"/>
      <c r="Q352" s="18"/>
      <c r="R352" s="18"/>
      <c r="S352" s="18"/>
      <c r="T352" s="18"/>
      <c r="U352" s="18"/>
    </row>
    <row r="353">
      <c r="A353" s="14">
        <f t="shared" si="1"/>
        <v>45967</v>
      </c>
      <c r="B353" s="15" t="s">
        <v>170</v>
      </c>
      <c r="C353" s="15" t="s">
        <v>30</v>
      </c>
      <c r="D353" s="15" t="s">
        <v>815</v>
      </c>
      <c r="E353" s="16">
        <v>4.365106802E9</v>
      </c>
      <c r="F353" s="15">
        <v>4.180303895E9</v>
      </c>
      <c r="G353" s="15" t="s">
        <v>43</v>
      </c>
      <c r="H353" s="15" t="s">
        <v>816</v>
      </c>
      <c r="I353" s="15" t="s">
        <v>816</v>
      </c>
      <c r="J353" s="16">
        <v>59000.0</v>
      </c>
      <c r="K353" s="16">
        <v>1.0</v>
      </c>
      <c r="L353" s="17">
        <v>45967.0574537037</v>
      </c>
      <c r="M353" s="17">
        <v>45968.70238425926</v>
      </c>
      <c r="N353" s="17">
        <v>45978.0</v>
      </c>
      <c r="O353" s="18"/>
      <c r="P353" s="18"/>
      <c r="Q353" s="18"/>
      <c r="R353" s="18"/>
      <c r="S353" s="18"/>
      <c r="T353" s="18"/>
      <c r="U353" s="18"/>
    </row>
    <row r="354">
      <c r="A354" s="14">
        <f t="shared" si="1"/>
        <v>45966</v>
      </c>
      <c r="B354" s="15" t="s">
        <v>170</v>
      </c>
      <c r="C354" s="15" t="s">
        <v>30</v>
      </c>
      <c r="D354" s="15" t="s">
        <v>817</v>
      </c>
      <c r="E354" s="16">
        <v>4.365067542E9</v>
      </c>
      <c r="F354" s="15">
        <v>4.180303895E9</v>
      </c>
      <c r="G354" s="15" t="s">
        <v>43</v>
      </c>
      <c r="H354" s="15" t="s">
        <v>818</v>
      </c>
      <c r="I354" s="15" t="s">
        <v>818</v>
      </c>
      <c r="J354" s="16">
        <v>59000.0</v>
      </c>
      <c r="K354" s="16">
        <v>1.0</v>
      </c>
      <c r="L354" s="17">
        <v>45966.97751157408</v>
      </c>
      <c r="M354" s="17">
        <v>45968.77868055556</v>
      </c>
      <c r="N354" s="17">
        <v>45971.0</v>
      </c>
      <c r="O354" s="18"/>
      <c r="P354" s="18"/>
      <c r="Q354" s="18"/>
      <c r="R354" s="18"/>
      <c r="S354" s="18"/>
      <c r="T354" s="18"/>
      <c r="U354" s="18"/>
    </row>
    <row r="355">
      <c r="A355" s="14">
        <f t="shared" si="1"/>
        <v>45966</v>
      </c>
      <c r="B355" s="15" t="s">
        <v>170</v>
      </c>
      <c r="C355" s="15" t="s">
        <v>30</v>
      </c>
      <c r="D355" s="15" t="s">
        <v>819</v>
      </c>
      <c r="E355" s="16">
        <v>4.365050227E9</v>
      </c>
      <c r="F355" s="15">
        <v>4.180303895E9</v>
      </c>
      <c r="G355" s="15" t="s">
        <v>43</v>
      </c>
      <c r="H355" s="15" t="s">
        <v>820</v>
      </c>
      <c r="I355" s="15" t="s">
        <v>820</v>
      </c>
      <c r="J355" s="16">
        <v>59000.0</v>
      </c>
      <c r="K355" s="16">
        <v>1.0</v>
      </c>
      <c r="L355" s="17">
        <v>45966.9553125</v>
      </c>
      <c r="M355" s="17">
        <v>45968.85501157407</v>
      </c>
      <c r="N355" s="17">
        <v>45978.0</v>
      </c>
      <c r="O355" s="18"/>
      <c r="P355" s="18"/>
      <c r="Q355" s="18"/>
      <c r="R355" s="18"/>
      <c r="S355" s="18"/>
      <c r="T355" s="18"/>
      <c r="U355" s="18"/>
    </row>
    <row r="356">
      <c r="A356" s="14">
        <f t="shared" si="1"/>
        <v>45966</v>
      </c>
      <c r="B356" s="15" t="s">
        <v>170</v>
      </c>
      <c r="C356" s="15" t="s">
        <v>30</v>
      </c>
      <c r="D356" s="15" t="s">
        <v>821</v>
      </c>
      <c r="E356" s="16">
        <v>4.365027391E9</v>
      </c>
      <c r="F356" s="15">
        <v>4.257576745E9</v>
      </c>
      <c r="G356" s="15" t="s">
        <v>822</v>
      </c>
      <c r="H356" s="15" t="s">
        <v>823</v>
      </c>
      <c r="I356" s="15" t="s">
        <v>824</v>
      </c>
      <c r="J356" s="16">
        <v>119000.0</v>
      </c>
      <c r="K356" s="16">
        <v>1.0</v>
      </c>
      <c r="L356" s="17">
        <v>45966.92853009259</v>
      </c>
      <c r="M356" s="17">
        <v>45968.59127314815</v>
      </c>
      <c r="N356" s="17">
        <v>45978.0</v>
      </c>
      <c r="O356" s="18"/>
      <c r="P356" s="18"/>
      <c r="Q356" s="18"/>
      <c r="R356" s="18"/>
      <c r="S356" s="18"/>
      <c r="T356" s="18"/>
      <c r="U356" s="18"/>
    </row>
    <row r="357">
      <c r="A357" s="14">
        <f t="shared" si="1"/>
        <v>45966</v>
      </c>
      <c r="B357" s="15" t="s">
        <v>170</v>
      </c>
      <c r="C357" s="15" t="s">
        <v>40</v>
      </c>
      <c r="D357" s="15" t="s">
        <v>825</v>
      </c>
      <c r="E357" s="16">
        <v>2.538632066E9</v>
      </c>
      <c r="F357" s="15" t="s">
        <v>666</v>
      </c>
      <c r="G357" s="15" t="s">
        <v>135</v>
      </c>
      <c r="H357" s="15" t="s">
        <v>826</v>
      </c>
      <c r="I357" s="15" t="s">
        <v>826</v>
      </c>
      <c r="J357" s="16">
        <v>109000.0</v>
      </c>
      <c r="K357" s="16">
        <v>1.0</v>
      </c>
      <c r="L357" s="17">
        <v>45966.90555555555</v>
      </c>
      <c r="M357" s="17">
        <v>45968.58125</v>
      </c>
      <c r="N357" s="17">
        <v>45976.075</v>
      </c>
      <c r="O357" s="18"/>
      <c r="P357" s="18"/>
      <c r="Q357" s="18"/>
      <c r="R357" s="18"/>
      <c r="S357" s="18"/>
      <c r="T357" s="18"/>
      <c r="U357" s="18"/>
    </row>
    <row r="358">
      <c r="A358" s="14">
        <f t="shared" si="1"/>
        <v>45966</v>
      </c>
      <c r="B358" s="15" t="s">
        <v>170</v>
      </c>
      <c r="C358" s="15" t="s">
        <v>30</v>
      </c>
      <c r="D358" s="15" t="s">
        <v>827</v>
      </c>
      <c r="E358" s="16">
        <v>4.364940488E9</v>
      </c>
      <c r="F358" s="15">
        <v>4.180303895E9</v>
      </c>
      <c r="G358" s="15" t="s">
        <v>43</v>
      </c>
      <c r="H358" s="15" t="s">
        <v>828</v>
      </c>
      <c r="I358" s="15" t="s">
        <v>828</v>
      </c>
      <c r="J358" s="16">
        <v>59000.0</v>
      </c>
      <c r="K358" s="16">
        <v>1.0</v>
      </c>
      <c r="L358" s="17">
        <v>45966.86900462963</v>
      </c>
      <c r="M358" s="17">
        <v>45968.68170138889</v>
      </c>
      <c r="N358" s="17">
        <v>45971.0</v>
      </c>
      <c r="O358" s="18"/>
      <c r="P358" s="18"/>
      <c r="Q358" s="18"/>
      <c r="R358" s="18"/>
      <c r="S358" s="18"/>
      <c r="T358" s="18"/>
      <c r="U358" s="18"/>
    </row>
    <row r="359">
      <c r="A359" s="14">
        <f t="shared" si="1"/>
        <v>45966</v>
      </c>
      <c r="B359" s="15" t="s">
        <v>170</v>
      </c>
      <c r="C359" s="15" t="s">
        <v>30</v>
      </c>
      <c r="D359" s="15" t="s">
        <v>829</v>
      </c>
      <c r="E359" s="16">
        <v>4.364932804E9</v>
      </c>
      <c r="F359" s="15">
        <v>2.793594584E9</v>
      </c>
      <c r="G359" s="15" t="s">
        <v>112</v>
      </c>
      <c r="H359" s="15" t="s">
        <v>830</v>
      </c>
      <c r="I359" s="15" t="s">
        <v>830</v>
      </c>
      <c r="J359" s="16">
        <v>14900.0</v>
      </c>
      <c r="K359" s="16">
        <v>1.0</v>
      </c>
      <c r="L359" s="17">
        <v>45966.79350694444</v>
      </c>
      <c r="M359" s="17">
        <v>45968.79251157407</v>
      </c>
      <c r="N359" s="17">
        <v>45971.0</v>
      </c>
      <c r="O359" s="18"/>
      <c r="P359" s="18"/>
      <c r="Q359" s="18"/>
      <c r="R359" s="18"/>
      <c r="S359" s="18"/>
      <c r="T359" s="18"/>
      <c r="U359" s="18"/>
    </row>
    <row r="360">
      <c r="A360" s="14">
        <f t="shared" si="1"/>
        <v>45966</v>
      </c>
      <c r="B360" s="15" t="s">
        <v>170</v>
      </c>
      <c r="C360" s="15" t="s">
        <v>30</v>
      </c>
      <c r="D360" s="15" t="s">
        <v>831</v>
      </c>
      <c r="E360" s="16">
        <v>4.364867939E9</v>
      </c>
      <c r="F360" s="15">
        <v>2.774671191E9</v>
      </c>
      <c r="G360" s="15" t="s">
        <v>131</v>
      </c>
      <c r="H360" s="15" t="s">
        <v>832</v>
      </c>
      <c r="I360" s="15" t="s">
        <v>833</v>
      </c>
      <c r="J360" s="16">
        <v>144000.0</v>
      </c>
      <c r="K360" s="16">
        <v>2.0</v>
      </c>
      <c r="L360" s="17">
        <v>45966.68150462963</v>
      </c>
      <c r="M360" s="17">
        <v>45968.62585648148</v>
      </c>
      <c r="N360" s="17">
        <v>45978.0</v>
      </c>
      <c r="O360" s="18"/>
      <c r="P360" s="18"/>
      <c r="Q360" s="18"/>
      <c r="R360" s="18"/>
      <c r="S360" s="18"/>
      <c r="T360" s="18"/>
      <c r="U360" s="18"/>
    </row>
    <row r="361">
      <c r="A361" s="14">
        <f t="shared" si="1"/>
        <v>45966</v>
      </c>
      <c r="B361" s="15" t="s">
        <v>170</v>
      </c>
      <c r="C361" s="15" t="s">
        <v>40</v>
      </c>
      <c r="D361" s="15" t="s">
        <v>834</v>
      </c>
      <c r="E361" s="16">
        <v>2.538565638E9</v>
      </c>
      <c r="F361" s="15" t="s">
        <v>42</v>
      </c>
      <c r="G361" s="15" t="s">
        <v>43</v>
      </c>
      <c r="H361" s="15" t="s">
        <v>835</v>
      </c>
      <c r="I361" s="15" t="s">
        <v>835</v>
      </c>
      <c r="J361" s="16">
        <v>59000.0</v>
      </c>
      <c r="K361" s="16">
        <v>1.0</v>
      </c>
      <c r="L361" s="17">
        <v>45966.57152777778</v>
      </c>
      <c r="M361" s="17">
        <v>45967.56203703704</v>
      </c>
      <c r="N361" s="17">
        <v>45967.96111111111</v>
      </c>
      <c r="O361" s="18"/>
      <c r="P361" s="18"/>
      <c r="Q361" s="18"/>
      <c r="R361" s="18"/>
      <c r="S361" s="18"/>
      <c r="T361" s="18"/>
      <c r="U361" s="18"/>
    </row>
    <row r="362">
      <c r="A362" s="14">
        <f t="shared" si="1"/>
        <v>45966</v>
      </c>
      <c r="B362" s="15" t="s">
        <v>170</v>
      </c>
      <c r="C362" s="15" t="s">
        <v>40</v>
      </c>
      <c r="D362" s="15" t="s">
        <v>836</v>
      </c>
      <c r="E362" s="16">
        <v>2.538561778E9</v>
      </c>
      <c r="F362" s="15" t="s">
        <v>42</v>
      </c>
      <c r="G362" s="15" t="s">
        <v>43</v>
      </c>
      <c r="H362" s="15" t="s">
        <v>837</v>
      </c>
      <c r="I362" s="15" t="s">
        <v>837</v>
      </c>
      <c r="J362" s="16">
        <v>59000.0</v>
      </c>
      <c r="K362" s="16">
        <v>1.0</v>
      </c>
      <c r="L362" s="17">
        <v>45966.55416666667</v>
      </c>
      <c r="M362" s="17">
        <v>45967.707395833335</v>
      </c>
      <c r="N362" s="17">
        <v>45975.11388888889</v>
      </c>
      <c r="O362" s="18"/>
      <c r="P362" s="18"/>
      <c r="Q362" s="18"/>
      <c r="R362" s="18"/>
      <c r="S362" s="18"/>
      <c r="T362" s="18"/>
      <c r="U362" s="18"/>
    </row>
    <row r="363">
      <c r="A363" s="14">
        <f t="shared" si="1"/>
        <v>45966</v>
      </c>
      <c r="B363" s="15" t="s">
        <v>170</v>
      </c>
      <c r="C363" s="15" t="s">
        <v>40</v>
      </c>
      <c r="D363" s="15" t="s">
        <v>838</v>
      </c>
      <c r="E363" s="16">
        <v>2.538551331E9</v>
      </c>
      <c r="F363" s="15" t="s">
        <v>226</v>
      </c>
      <c r="G363" s="15" t="s">
        <v>35</v>
      </c>
      <c r="H363" s="15" t="s">
        <v>839</v>
      </c>
      <c r="I363" s="15" t="s">
        <v>839</v>
      </c>
      <c r="J363" s="16">
        <v>65000.0</v>
      </c>
      <c r="K363" s="16">
        <v>1.0</v>
      </c>
      <c r="L363" s="17">
        <v>45966.5125</v>
      </c>
      <c r="M363" s="17">
        <v>45967.55888888889</v>
      </c>
      <c r="N363" s="17">
        <v>45975.111805555556</v>
      </c>
      <c r="O363" s="18"/>
      <c r="P363" s="18"/>
      <c r="Q363" s="18"/>
      <c r="R363" s="18"/>
      <c r="S363" s="18"/>
      <c r="T363" s="18"/>
      <c r="U363" s="18"/>
    </row>
    <row r="364">
      <c r="A364" s="14">
        <f t="shared" si="1"/>
        <v>45966</v>
      </c>
      <c r="B364" s="15" t="s">
        <v>170</v>
      </c>
      <c r="C364" s="15" t="s">
        <v>30</v>
      </c>
      <c r="D364" s="15" t="s">
        <v>840</v>
      </c>
      <c r="E364" s="16">
        <v>4.364683664E9</v>
      </c>
      <c r="F364" s="15">
        <v>4.180303895E9</v>
      </c>
      <c r="G364" s="15" t="s">
        <v>43</v>
      </c>
      <c r="H364" s="15" t="s">
        <v>841</v>
      </c>
      <c r="I364" s="15" t="s">
        <v>841</v>
      </c>
      <c r="J364" s="16">
        <v>118000.0</v>
      </c>
      <c r="K364" s="16">
        <v>2.0</v>
      </c>
      <c r="L364" s="17">
        <v>45966.456666666665</v>
      </c>
      <c r="M364" s="17">
        <v>45968.68162037037</v>
      </c>
      <c r="N364" s="17">
        <v>45978.0</v>
      </c>
      <c r="O364" s="18"/>
      <c r="P364" s="18"/>
      <c r="Q364" s="18"/>
      <c r="R364" s="18"/>
      <c r="S364" s="18"/>
      <c r="T364" s="18"/>
      <c r="U364" s="18"/>
    </row>
    <row r="365">
      <c r="A365" s="14">
        <f t="shared" si="1"/>
        <v>45966</v>
      </c>
      <c r="B365" s="15" t="s">
        <v>170</v>
      </c>
      <c r="C365" s="15" t="s">
        <v>30</v>
      </c>
      <c r="D365" s="15" t="s">
        <v>842</v>
      </c>
      <c r="E365" s="16">
        <v>4.364666961E9</v>
      </c>
      <c r="F365" s="15">
        <v>2.774671191E9</v>
      </c>
      <c r="G365" s="15" t="s">
        <v>131</v>
      </c>
      <c r="H365" s="15" t="s">
        <v>843</v>
      </c>
      <c r="I365" s="15" t="s">
        <v>844</v>
      </c>
      <c r="J365" s="16">
        <v>72000.0</v>
      </c>
      <c r="K365" s="16">
        <v>1.0</v>
      </c>
      <c r="L365" s="17">
        <v>45966.43939814815</v>
      </c>
      <c r="M365" s="17">
        <v>45967.514710648145</v>
      </c>
      <c r="N365" s="17">
        <v>45978.0</v>
      </c>
      <c r="O365" s="18"/>
      <c r="P365" s="18"/>
      <c r="Q365" s="18"/>
      <c r="R365" s="18"/>
      <c r="S365" s="18"/>
      <c r="T365" s="18"/>
      <c r="U365" s="18"/>
    </row>
    <row r="366">
      <c r="A366" s="14">
        <f t="shared" si="1"/>
        <v>45966</v>
      </c>
      <c r="B366" s="15" t="s">
        <v>170</v>
      </c>
      <c r="C366" s="15" t="s">
        <v>30</v>
      </c>
      <c r="D366" s="15" t="s">
        <v>845</v>
      </c>
      <c r="E366" s="16">
        <v>4.364638062E9</v>
      </c>
      <c r="F366" s="15">
        <v>4.180303895E9</v>
      </c>
      <c r="G366" s="15" t="s">
        <v>43</v>
      </c>
      <c r="H366" s="15" t="s">
        <v>846</v>
      </c>
      <c r="I366" s="15" t="s">
        <v>846</v>
      </c>
      <c r="J366" s="16">
        <v>59000.0</v>
      </c>
      <c r="K366" s="16">
        <v>1.0</v>
      </c>
      <c r="L366" s="17">
        <v>45966.40967592593</v>
      </c>
      <c r="M366" s="17">
        <v>45968.65394675926</v>
      </c>
      <c r="N366" s="17">
        <v>45971.0</v>
      </c>
      <c r="O366" s="18"/>
      <c r="P366" s="18"/>
      <c r="Q366" s="18"/>
      <c r="R366" s="18"/>
      <c r="S366" s="18"/>
      <c r="T366" s="18"/>
      <c r="U366" s="18"/>
    </row>
    <row r="367">
      <c r="A367" s="14">
        <f t="shared" si="1"/>
        <v>45966</v>
      </c>
      <c r="B367" s="15" t="s">
        <v>170</v>
      </c>
      <c r="C367" s="15" t="s">
        <v>30</v>
      </c>
      <c r="D367" s="15" t="s">
        <v>847</v>
      </c>
      <c r="E367" s="16">
        <v>4.364624292E9</v>
      </c>
      <c r="F367" s="15">
        <v>4.180303895E9</v>
      </c>
      <c r="G367" s="15" t="s">
        <v>43</v>
      </c>
      <c r="H367" s="15" t="s">
        <v>848</v>
      </c>
      <c r="I367" s="15" t="s">
        <v>848</v>
      </c>
      <c r="J367" s="16">
        <v>118000.0</v>
      </c>
      <c r="K367" s="16">
        <v>2.0</v>
      </c>
      <c r="L367" s="17">
        <v>45966.39439814815</v>
      </c>
      <c r="M367" s="17">
        <v>45967.674780092595</v>
      </c>
      <c r="N367" s="17">
        <v>45978.0</v>
      </c>
      <c r="O367" s="18"/>
      <c r="P367" s="18"/>
      <c r="Q367" s="18"/>
      <c r="R367" s="18"/>
      <c r="S367" s="18"/>
      <c r="T367" s="18"/>
      <c r="U367" s="18"/>
    </row>
    <row r="368">
      <c r="A368" s="14">
        <f t="shared" si="1"/>
        <v>45966</v>
      </c>
      <c r="B368" s="15" t="s">
        <v>170</v>
      </c>
      <c r="C368" s="15" t="s">
        <v>40</v>
      </c>
      <c r="D368" s="15" t="s">
        <v>849</v>
      </c>
      <c r="E368" s="16">
        <v>2.538523753E9</v>
      </c>
      <c r="F368" s="15" t="s">
        <v>42</v>
      </c>
      <c r="G368" s="15" t="s">
        <v>43</v>
      </c>
      <c r="H368" s="15" t="s">
        <v>850</v>
      </c>
      <c r="I368" s="15" t="s">
        <v>850</v>
      </c>
      <c r="J368" s="16">
        <v>59000.0</v>
      </c>
      <c r="K368" s="16">
        <v>1.0</v>
      </c>
      <c r="L368" s="17">
        <v>45966.37986111111</v>
      </c>
      <c r="M368" s="17">
        <v>45967.67648148148</v>
      </c>
      <c r="N368" s="17">
        <v>45975.10486111111</v>
      </c>
      <c r="O368" s="18"/>
      <c r="P368" s="18"/>
      <c r="Q368" s="18"/>
      <c r="R368" s="18"/>
      <c r="S368" s="18"/>
      <c r="T368" s="18"/>
      <c r="U368" s="18"/>
    </row>
    <row r="369">
      <c r="A369" s="14">
        <f t="shared" si="1"/>
        <v>45966</v>
      </c>
      <c r="B369" s="15" t="s">
        <v>170</v>
      </c>
      <c r="C369" s="15" t="s">
        <v>30</v>
      </c>
      <c r="D369" s="15" t="s">
        <v>851</v>
      </c>
      <c r="E369" s="16">
        <v>4.364585707E9</v>
      </c>
      <c r="F369" s="15">
        <v>2.10684596E9</v>
      </c>
      <c r="G369" s="15" t="s">
        <v>32</v>
      </c>
      <c r="H369" s="15" t="s">
        <v>852</v>
      </c>
      <c r="I369" s="15" t="s">
        <v>852</v>
      </c>
      <c r="J369" s="16">
        <v>34900.0</v>
      </c>
      <c r="K369" s="16">
        <v>1.0</v>
      </c>
      <c r="L369" s="17">
        <v>45966.34055555556</v>
      </c>
      <c r="M369" s="17">
        <v>45967.56328703704</v>
      </c>
      <c r="N369" s="17">
        <v>45978.0</v>
      </c>
      <c r="O369" s="18"/>
      <c r="P369" s="18"/>
      <c r="Q369" s="18"/>
      <c r="R369" s="18"/>
      <c r="S369" s="18"/>
      <c r="T369" s="18"/>
      <c r="U369" s="18"/>
    </row>
    <row r="370">
      <c r="A370" s="14">
        <f t="shared" si="1"/>
        <v>45966</v>
      </c>
      <c r="B370" s="15" t="s">
        <v>170</v>
      </c>
      <c r="C370" s="15" t="s">
        <v>30</v>
      </c>
      <c r="D370" s="15">
        <v>8646281.0</v>
      </c>
      <c r="E370" s="16">
        <v>4.364571389E9</v>
      </c>
      <c r="F370" s="15">
        <v>4.180303895E9</v>
      </c>
      <c r="G370" s="15" t="s">
        <v>43</v>
      </c>
      <c r="H370" s="15" t="s">
        <v>853</v>
      </c>
      <c r="I370" s="15" t="s">
        <v>853</v>
      </c>
      <c r="J370" s="16">
        <v>118000.0</v>
      </c>
      <c r="K370" s="16">
        <v>2.0</v>
      </c>
      <c r="L370" s="17">
        <v>45966.306666666664</v>
      </c>
      <c r="M370" s="17">
        <v>45967.68177083333</v>
      </c>
      <c r="N370" s="17">
        <v>45978.0</v>
      </c>
      <c r="O370" s="18"/>
      <c r="P370" s="18"/>
      <c r="Q370" s="18"/>
      <c r="R370" s="18"/>
      <c r="S370" s="18"/>
      <c r="T370" s="18"/>
      <c r="U370" s="18"/>
    </row>
    <row r="371">
      <c r="A371" s="14">
        <f t="shared" si="1"/>
        <v>45966</v>
      </c>
      <c r="B371" s="15" t="s">
        <v>170</v>
      </c>
      <c r="C371" s="15" t="s">
        <v>40</v>
      </c>
      <c r="D371" s="15" t="s">
        <v>854</v>
      </c>
      <c r="E371" s="16">
        <v>2.538511596E9</v>
      </c>
      <c r="F371" s="15" t="s">
        <v>42</v>
      </c>
      <c r="G371" s="15" t="s">
        <v>43</v>
      </c>
      <c r="H371" s="15" t="s">
        <v>855</v>
      </c>
      <c r="I371" s="15" t="s">
        <v>855</v>
      </c>
      <c r="J371" s="16">
        <v>59000.0</v>
      </c>
      <c r="K371" s="16">
        <v>1.0</v>
      </c>
      <c r="L371" s="17">
        <v>45966.29722222222</v>
      </c>
      <c r="M371" s="17">
        <v>45967.60128472222</v>
      </c>
      <c r="N371" s="17">
        <v>45975.100694444445</v>
      </c>
      <c r="O371" s="18"/>
      <c r="P371" s="18"/>
      <c r="Q371" s="18"/>
      <c r="R371" s="18"/>
      <c r="S371" s="18"/>
      <c r="T371" s="18"/>
      <c r="U371" s="18"/>
    </row>
    <row r="372">
      <c r="A372" s="14">
        <f t="shared" si="1"/>
        <v>45966</v>
      </c>
      <c r="B372" s="15" t="s">
        <v>170</v>
      </c>
      <c r="C372" s="15" t="s">
        <v>30</v>
      </c>
      <c r="D372" s="15" t="s">
        <v>856</v>
      </c>
      <c r="E372" s="16">
        <v>4.364563094E9</v>
      </c>
      <c r="F372" s="15">
        <v>2.774671191E9</v>
      </c>
      <c r="G372" s="15" t="s">
        <v>131</v>
      </c>
      <c r="H372" s="15" t="s">
        <v>857</v>
      </c>
      <c r="I372" s="15" t="s">
        <v>857</v>
      </c>
      <c r="J372" s="16">
        <v>72000.0</v>
      </c>
      <c r="K372" s="16">
        <v>1.0</v>
      </c>
      <c r="L372" s="17">
        <v>45966.27738425926</v>
      </c>
      <c r="M372" s="17">
        <v>45967.56328703704</v>
      </c>
      <c r="N372" s="17">
        <v>45978.0</v>
      </c>
      <c r="O372" s="18"/>
      <c r="P372" s="18"/>
      <c r="Q372" s="18"/>
      <c r="R372" s="18"/>
      <c r="S372" s="18"/>
      <c r="T372" s="18"/>
      <c r="U372" s="18"/>
    </row>
    <row r="373">
      <c r="A373" s="14">
        <f t="shared" si="1"/>
        <v>45966</v>
      </c>
      <c r="B373" s="15" t="s">
        <v>170</v>
      </c>
      <c r="C373" s="15" t="s">
        <v>30</v>
      </c>
      <c r="D373" s="15" t="s">
        <v>858</v>
      </c>
      <c r="E373" s="16">
        <v>4.36453493E9</v>
      </c>
      <c r="F373" s="15">
        <v>4.180303895E9</v>
      </c>
      <c r="G373" s="15" t="s">
        <v>43</v>
      </c>
      <c r="H373" s="15" t="s">
        <v>859</v>
      </c>
      <c r="I373" s="15" t="s">
        <v>859</v>
      </c>
      <c r="J373" s="16">
        <v>118000.0</v>
      </c>
      <c r="K373" s="16">
        <v>2.0</v>
      </c>
      <c r="L373" s="17">
        <v>45966.058854166666</v>
      </c>
      <c r="M373" s="17">
        <v>45967.59135416667</v>
      </c>
      <c r="N373" s="17">
        <v>45978.0</v>
      </c>
      <c r="O373" s="18"/>
      <c r="P373" s="18"/>
      <c r="Q373" s="18"/>
      <c r="R373" s="18"/>
      <c r="S373" s="18"/>
      <c r="T373" s="18"/>
      <c r="U373" s="18"/>
    </row>
    <row r="374">
      <c r="A374" s="14">
        <f t="shared" si="1"/>
        <v>45965</v>
      </c>
      <c r="B374" s="15" t="s">
        <v>47</v>
      </c>
      <c r="C374" s="15" t="s">
        <v>30</v>
      </c>
      <c r="D374" s="15" t="s">
        <v>860</v>
      </c>
      <c r="E374" s="16">
        <v>4.36445985E9</v>
      </c>
      <c r="F374" s="15">
        <v>4.180303895E9</v>
      </c>
      <c r="G374" s="15" t="s">
        <v>43</v>
      </c>
      <c r="H374" s="15" t="s">
        <v>861</v>
      </c>
      <c r="I374" s="15" t="s">
        <v>861</v>
      </c>
      <c r="J374" s="16">
        <v>59000.0</v>
      </c>
      <c r="K374" s="16">
        <v>1.0</v>
      </c>
      <c r="L374" s="17">
        <v>45965.931608796294</v>
      </c>
      <c r="M374" s="20"/>
      <c r="N374" s="20"/>
      <c r="O374" s="18"/>
      <c r="P374" s="18"/>
      <c r="Q374" s="18"/>
      <c r="R374" s="18"/>
      <c r="S374" s="18"/>
      <c r="T374" s="18"/>
      <c r="U374" s="18"/>
    </row>
    <row r="375">
      <c r="A375" s="14">
        <f t="shared" si="1"/>
        <v>45965</v>
      </c>
      <c r="B375" s="15" t="s">
        <v>170</v>
      </c>
      <c r="C375" s="15" t="s">
        <v>30</v>
      </c>
      <c r="D375" s="15" t="s">
        <v>862</v>
      </c>
      <c r="E375" s="16">
        <v>4.364435795E9</v>
      </c>
      <c r="F375" s="15">
        <v>4.180303895E9</v>
      </c>
      <c r="G375" s="15" t="s">
        <v>43</v>
      </c>
      <c r="H375" s="15" t="s">
        <v>863</v>
      </c>
      <c r="I375" s="15" t="s">
        <v>864</v>
      </c>
      <c r="J375" s="16">
        <v>59000.0</v>
      </c>
      <c r="K375" s="16">
        <v>1.0</v>
      </c>
      <c r="L375" s="17">
        <v>45965.90226851852</v>
      </c>
      <c r="M375" s="17">
        <v>45968.639965277776</v>
      </c>
      <c r="N375" s="17">
        <v>45978.0</v>
      </c>
      <c r="O375" s="18"/>
      <c r="P375" s="18"/>
      <c r="Q375" s="18"/>
      <c r="R375" s="18"/>
      <c r="S375" s="18"/>
      <c r="T375" s="18"/>
      <c r="U375" s="18"/>
    </row>
    <row r="376">
      <c r="A376" s="14">
        <f t="shared" si="1"/>
        <v>45965</v>
      </c>
      <c r="B376" s="15" t="s">
        <v>170</v>
      </c>
      <c r="C376" s="15" t="s">
        <v>30</v>
      </c>
      <c r="D376" s="15" t="s">
        <v>865</v>
      </c>
      <c r="E376" s="16">
        <v>4.364434803E9</v>
      </c>
      <c r="F376" s="15">
        <v>4.546798282E9</v>
      </c>
      <c r="G376" s="15" t="s">
        <v>135</v>
      </c>
      <c r="H376" s="15" t="s">
        <v>866</v>
      </c>
      <c r="I376" s="15" t="s">
        <v>866</v>
      </c>
      <c r="J376" s="16">
        <v>109000.0</v>
      </c>
      <c r="K376" s="16">
        <v>1.0</v>
      </c>
      <c r="L376" s="17">
        <v>45965.9044212963</v>
      </c>
      <c r="M376" s="17">
        <v>45967.71613425926</v>
      </c>
      <c r="N376" s="17">
        <v>45978.0</v>
      </c>
      <c r="O376" s="18"/>
      <c r="P376" s="18"/>
      <c r="Q376" s="18"/>
      <c r="R376" s="18"/>
      <c r="S376" s="18"/>
      <c r="T376" s="18"/>
      <c r="U376" s="18"/>
    </row>
    <row r="377">
      <c r="A377" s="14">
        <f t="shared" si="1"/>
        <v>693961</v>
      </c>
      <c r="B377" s="15" t="s">
        <v>47</v>
      </c>
      <c r="C377" s="15" t="s">
        <v>30</v>
      </c>
      <c r="D377" s="15" t="s">
        <v>867</v>
      </c>
      <c r="E377" s="16">
        <v>4.364434767E9</v>
      </c>
      <c r="F377" s="15">
        <v>4.180303895E9</v>
      </c>
      <c r="G377" s="15" t="s">
        <v>43</v>
      </c>
      <c r="H377" s="15" t="s">
        <v>868</v>
      </c>
      <c r="I377" s="15" t="s">
        <v>869</v>
      </c>
      <c r="J377" s="16">
        <v>59000.0</v>
      </c>
      <c r="K377" s="16">
        <v>1.0</v>
      </c>
      <c r="L377" s="20"/>
      <c r="M377" s="20"/>
      <c r="N377" s="20"/>
      <c r="O377" s="18"/>
      <c r="P377" s="18"/>
      <c r="Q377" s="18"/>
      <c r="R377" s="18"/>
      <c r="S377" s="18"/>
      <c r="T377" s="18"/>
      <c r="U377" s="18"/>
    </row>
    <row r="378">
      <c r="A378" s="14">
        <f t="shared" si="1"/>
        <v>45965</v>
      </c>
      <c r="B378" s="15" t="s">
        <v>170</v>
      </c>
      <c r="C378" s="15" t="s">
        <v>30</v>
      </c>
      <c r="D378" s="15" t="s">
        <v>870</v>
      </c>
      <c r="E378" s="16">
        <v>4.364421793E9</v>
      </c>
      <c r="F378" s="15">
        <v>4.180303895E9</v>
      </c>
      <c r="G378" s="15" t="s">
        <v>43</v>
      </c>
      <c r="H378" s="15" t="s">
        <v>871</v>
      </c>
      <c r="I378" s="15" t="s">
        <v>871</v>
      </c>
      <c r="J378" s="16">
        <v>59000.0</v>
      </c>
      <c r="K378" s="16">
        <v>1.0</v>
      </c>
      <c r="L378" s="17">
        <v>45965.88517361111</v>
      </c>
      <c r="M378" s="17">
        <v>45967.75078703704</v>
      </c>
      <c r="N378" s="17">
        <v>45978.0</v>
      </c>
      <c r="O378" s="18"/>
      <c r="P378" s="18"/>
      <c r="Q378" s="18"/>
      <c r="R378" s="18"/>
      <c r="S378" s="18"/>
      <c r="T378" s="18"/>
      <c r="U378" s="18"/>
    </row>
    <row r="379">
      <c r="A379" s="14">
        <f t="shared" si="1"/>
        <v>45965</v>
      </c>
      <c r="B379" s="15" t="s">
        <v>170</v>
      </c>
      <c r="C379" s="15" t="s">
        <v>30</v>
      </c>
      <c r="D379" s="15" t="s">
        <v>872</v>
      </c>
      <c r="E379" s="16">
        <v>4.36440883E9</v>
      </c>
      <c r="F379" s="15">
        <v>4.180303895E9</v>
      </c>
      <c r="G379" s="15" t="s">
        <v>43</v>
      </c>
      <c r="H379" s="15" t="s">
        <v>873</v>
      </c>
      <c r="I379" s="15" t="s">
        <v>873</v>
      </c>
      <c r="J379" s="16">
        <v>59000.0</v>
      </c>
      <c r="K379" s="16">
        <v>1.0</v>
      </c>
      <c r="L379" s="17">
        <v>45965.86828703704</v>
      </c>
      <c r="M379" s="17">
        <v>45967.542662037034</v>
      </c>
      <c r="N379" s="17">
        <v>45978.0</v>
      </c>
      <c r="O379" s="18"/>
      <c r="P379" s="18"/>
      <c r="Q379" s="18"/>
      <c r="R379" s="18"/>
      <c r="S379" s="18"/>
      <c r="T379" s="18"/>
      <c r="U379" s="18"/>
    </row>
    <row r="380">
      <c r="A380" s="14">
        <f t="shared" si="1"/>
        <v>45965</v>
      </c>
      <c r="B380" s="15" t="s">
        <v>170</v>
      </c>
      <c r="C380" s="15" t="s">
        <v>30</v>
      </c>
      <c r="D380" s="15" t="s">
        <v>874</v>
      </c>
      <c r="E380" s="16">
        <v>4.364403569E9</v>
      </c>
      <c r="F380" s="15">
        <v>4.180303895E9</v>
      </c>
      <c r="G380" s="15" t="s">
        <v>43</v>
      </c>
      <c r="H380" s="15" t="s">
        <v>875</v>
      </c>
      <c r="I380" s="15" t="s">
        <v>875</v>
      </c>
      <c r="J380" s="16">
        <v>59000.0</v>
      </c>
      <c r="K380" s="16">
        <v>1.0</v>
      </c>
      <c r="L380" s="17">
        <v>45965.860868055555</v>
      </c>
      <c r="M380" s="17">
        <v>45967.66091435185</v>
      </c>
      <c r="N380" s="17">
        <v>45971.0</v>
      </c>
      <c r="O380" s="18"/>
      <c r="P380" s="18"/>
      <c r="Q380" s="18"/>
      <c r="R380" s="18"/>
      <c r="S380" s="18"/>
      <c r="T380" s="18"/>
      <c r="U380" s="18"/>
    </row>
    <row r="381">
      <c r="A381" s="14">
        <f t="shared" si="1"/>
        <v>45965</v>
      </c>
      <c r="B381" s="15" t="s">
        <v>170</v>
      </c>
      <c r="C381" s="15" t="s">
        <v>30</v>
      </c>
      <c r="D381" s="15" t="s">
        <v>876</v>
      </c>
      <c r="E381" s="16">
        <v>4.364398083E9</v>
      </c>
      <c r="F381" s="15">
        <v>4.180303895E9</v>
      </c>
      <c r="G381" s="15" t="s">
        <v>43</v>
      </c>
      <c r="H381" s="15" t="s">
        <v>877</v>
      </c>
      <c r="I381" s="15" t="s">
        <v>877</v>
      </c>
      <c r="J381" s="16">
        <v>59000.0</v>
      </c>
      <c r="K381" s="16">
        <v>1.0</v>
      </c>
      <c r="L381" s="17">
        <v>45965.852800925924</v>
      </c>
      <c r="M381" s="17">
        <v>45967.64680555555</v>
      </c>
      <c r="N381" s="17">
        <v>45978.0</v>
      </c>
      <c r="O381" s="18"/>
      <c r="P381" s="18"/>
      <c r="Q381" s="18"/>
      <c r="R381" s="18"/>
      <c r="S381" s="18"/>
      <c r="T381" s="18"/>
      <c r="U381" s="18"/>
    </row>
    <row r="382">
      <c r="A382" s="14">
        <f t="shared" si="1"/>
        <v>45965</v>
      </c>
      <c r="B382" s="15" t="s">
        <v>170</v>
      </c>
      <c r="C382" s="15" t="s">
        <v>30</v>
      </c>
      <c r="D382" s="15" t="s">
        <v>878</v>
      </c>
      <c r="E382" s="16">
        <v>4.364383378E9</v>
      </c>
      <c r="F382" s="15">
        <v>4.113888539E9</v>
      </c>
      <c r="G382" s="15" t="s">
        <v>84</v>
      </c>
      <c r="H382" s="15" t="s">
        <v>879</v>
      </c>
      <c r="I382" s="15" t="s">
        <v>879</v>
      </c>
      <c r="J382" s="16">
        <v>14500.0</v>
      </c>
      <c r="K382" s="16">
        <v>1.0</v>
      </c>
      <c r="L382" s="17">
        <v>45965.82982638889</v>
      </c>
      <c r="M382" s="17">
        <v>45967.577152777776</v>
      </c>
      <c r="N382" s="17">
        <v>45978.0</v>
      </c>
      <c r="O382" s="18"/>
      <c r="P382" s="18"/>
      <c r="Q382" s="18"/>
      <c r="R382" s="18"/>
      <c r="S382" s="18"/>
      <c r="T382" s="18"/>
      <c r="U382" s="18"/>
    </row>
    <row r="383">
      <c r="A383" s="14">
        <f t="shared" si="1"/>
        <v>693961</v>
      </c>
      <c r="B383" s="15" t="s">
        <v>47</v>
      </c>
      <c r="C383" s="15" t="s">
        <v>30</v>
      </c>
      <c r="D383" s="15" t="s">
        <v>878</v>
      </c>
      <c r="E383" s="16">
        <v>4.364382851E9</v>
      </c>
      <c r="F383" s="15">
        <v>4.113888539E9</v>
      </c>
      <c r="G383" s="15" t="s">
        <v>84</v>
      </c>
      <c r="H383" s="15" t="s">
        <v>879</v>
      </c>
      <c r="I383" s="15" t="s">
        <v>879</v>
      </c>
      <c r="J383" s="16">
        <v>14500.0</v>
      </c>
      <c r="K383" s="16">
        <v>1.0</v>
      </c>
      <c r="L383" s="20"/>
      <c r="M383" s="20"/>
      <c r="N383" s="20"/>
      <c r="O383" s="18"/>
      <c r="P383" s="18"/>
      <c r="Q383" s="18"/>
      <c r="R383" s="18"/>
      <c r="S383" s="18"/>
      <c r="T383" s="18"/>
      <c r="U383" s="18"/>
    </row>
    <row r="384">
      <c r="A384" s="14">
        <f t="shared" si="1"/>
        <v>45965</v>
      </c>
      <c r="B384" s="15" t="s">
        <v>170</v>
      </c>
      <c r="C384" s="15" t="s">
        <v>40</v>
      </c>
      <c r="D384" s="15">
        <v>82844.0</v>
      </c>
      <c r="E384" s="16">
        <v>2.538458604E9</v>
      </c>
      <c r="F384" s="15" t="s">
        <v>42</v>
      </c>
      <c r="G384" s="15" t="s">
        <v>43</v>
      </c>
      <c r="H384" s="15" t="s">
        <v>880</v>
      </c>
      <c r="I384" s="15" t="s">
        <v>880</v>
      </c>
      <c r="J384" s="16">
        <v>59000.0</v>
      </c>
      <c r="K384" s="16">
        <v>1.0</v>
      </c>
      <c r="L384" s="17">
        <v>45965.822222222225</v>
      </c>
      <c r="M384" s="17">
        <v>45967.598541666666</v>
      </c>
      <c r="N384" s="17">
        <v>45968.33194444444</v>
      </c>
      <c r="O384" s="18"/>
      <c r="P384" s="18"/>
      <c r="Q384" s="18"/>
      <c r="R384" s="18"/>
      <c r="S384" s="18"/>
      <c r="T384" s="18"/>
      <c r="U384" s="18"/>
    </row>
    <row r="385">
      <c r="A385" s="14">
        <f t="shared" si="1"/>
        <v>45965</v>
      </c>
      <c r="B385" s="15" t="s">
        <v>290</v>
      </c>
      <c r="C385" s="15" t="s">
        <v>30</v>
      </c>
      <c r="D385" s="15" t="s">
        <v>881</v>
      </c>
      <c r="E385" s="16">
        <v>4.364373001E9</v>
      </c>
      <c r="F385" s="15">
        <v>4.544699629E9</v>
      </c>
      <c r="G385" s="15" t="s">
        <v>212</v>
      </c>
      <c r="H385" s="15" t="s">
        <v>882</v>
      </c>
      <c r="I385" s="15" t="s">
        <v>882</v>
      </c>
      <c r="J385" s="16">
        <v>145000.0</v>
      </c>
      <c r="K385" s="16">
        <v>1.0</v>
      </c>
      <c r="L385" s="17">
        <v>45965.81228009259</v>
      </c>
      <c r="M385" s="17">
        <v>45968.79949074074</v>
      </c>
      <c r="N385" s="20"/>
      <c r="O385" s="18"/>
      <c r="P385" s="18"/>
      <c r="Q385" s="18"/>
      <c r="R385" s="18"/>
      <c r="S385" s="18"/>
      <c r="T385" s="18"/>
      <c r="U385" s="18"/>
    </row>
    <row r="386">
      <c r="A386" s="14">
        <f t="shared" si="1"/>
        <v>45965</v>
      </c>
      <c r="B386" s="15" t="s">
        <v>170</v>
      </c>
      <c r="C386" s="15" t="s">
        <v>40</v>
      </c>
      <c r="D386" s="15" t="s">
        <v>883</v>
      </c>
      <c r="E386" s="16">
        <v>2.538419661E9</v>
      </c>
      <c r="F386" s="15" t="s">
        <v>42</v>
      </c>
      <c r="G386" s="15" t="s">
        <v>43</v>
      </c>
      <c r="H386" s="15" t="s">
        <v>884</v>
      </c>
      <c r="I386" s="15" t="s">
        <v>885</v>
      </c>
      <c r="J386" s="16">
        <v>59000.0</v>
      </c>
      <c r="K386" s="16">
        <v>1.0</v>
      </c>
      <c r="L386" s="17">
        <v>45965.62708333333</v>
      </c>
      <c r="M386" s="17">
        <v>45967.68329861111</v>
      </c>
      <c r="N386" s="17">
        <v>45969.63888888889</v>
      </c>
      <c r="O386" s="18"/>
      <c r="P386" s="18"/>
      <c r="Q386" s="18"/>
      <c r="R386" s="18"/>
      <c r="S386" s="18"/>
      <c r="T386" s="18"/>
      <c r="U386" s="18"/>
    </row>
    <row r="387">
      <c r="A387" s="14">
        <f t="shared" si="1"/>
        <v>45965</v>
      </c>
      <c r="B387" s="15" t="s">
        <v>170</v>
      </c>
      <c r="C387" s="15" t="s">
        <v>30</v>
      </c>
      <c r="D387" s="15" t="s">
        <v>886</v>
      </c>
      <c r="E387" s="16">
        <v>4.364237161E9</v>
      </c>
      <c r="F387" s="15">
        <v>4.180303895E9</v>
      </c>
      <c r="G387" s="15" t="s">
        <v>43</v>
      </c>
      <c r="H387" s="15" t="s">
        <v>887</v>
      </c>
      <c r="I387" s="15" t="s">
        <v>887</v>
      </c>
      <c r="J387" s="16">
        <v>59000.0</v>
      </c>
      <c r="K387" s="16">
        <v>1.0</v>
      </c>
      <c r="L387" s="17">
        <v>45965.603101851855</v>
      </c>
      <c r="M387" s="17">
        <v>45967.75771990741</v>
      </c>
      <c r="N387" s="17">
        <v>45978.0</v>
      </c>
      <c r="O387" s="18"/>
      <c r="P387" s="18"/>
      <c r="Q387" s="18"/>
      <c r="R387" s="18"/>
      <c r="S387" s="18"/>
      <c r="T387" s="18"/>
      <c r="U387" s="18"/>
    </row>
    <row r="388">
      <c r="A388" s="14">
        <f t="shared" si="1"/>
        <v>45965</v>
      </c>
      <c r="B388" s="15" t="s">
        <v>50</v>
      </c>
      <c r="C388" s="15" t="s">
        <v>40</v>
      </c>
      <c r="D388" s="15" t="s">
        <v>888</v>
      </c>
      <c r="E388" s="16">
        <v>2.538416116E9</v>
      </c>
      <c r="F388" s="15" t="s">
        <v>666</v>
      </c>
      <c r="G388" s="15" t="s">
        <v>135</v>
      </c>
      <c r="H388" s="15" t="s">
        <v>889</v>
      </c>
      <c r="I388" s="15" t="s">
        <v>889</v>
      </c>
      <c r="J388" s="16">
        <v>109000.0</v>
      </c>
      <c r="K388" s="16">
        <v>1.0</v>
      </c>
      <c r="L388" s="17">
        <v>45965.59652777778</v>
      </c>
      <c r="M388" s="20"/>
      <c r="N388" s="20"/>
      <c r="O388" s="18"/>
      <c r="P388" s="18"/>
      <c r="Q388" s="18"/>
      <c r="R388" s="18"/>
      <c r="S388" s="18"/>
      <c r="T388" s="18"/>
      <c r="U388" s="18"/>
    </row>
    <row r="389">
      <c r="A389" s="14">
        <f t="shared" si="1"/>
        <v>45965</v>
      </c>
      <c r="B389" s="15" t="s">
        <v>170</v>
      </c>
      <c r="C389" s="15" t="s">
        <v>30</v>
      </c>
      <c r="D389" s="15" t="s">
        <v>890</v>
      </c>
      <c r="E389" s="16">
        <v>4.364220101E9</v>
      </c>
      <c r="F389" s="15">
        <v>4.180303895E9</v>
      </c>
      <c r="G389" s="15" t="s">
        <v>43</v>
      </c>
      <c r="H389" s="15" t="s">
        <v>891</v>
      </c>
      <c r="I389" s="15" t="s">
        <v>891</v>
      </c>
      <c r="J389" s="16">
        <v>59000.0</v>
      </c>
      <c r="K389" s="16">
        <v>1.0</v>
      </c>
      <c r="L389" s="17">
        <v>45965.58226851852</v>
      </c>
      <c r="M389" s="17">
        <v>45967.55636574074</v>
      </c>
      <c r="N389" s="17">
        <v>45978.0</v>
      </c>
      <c r="O389" s="18"/>
      <c r="P389" s="18"/>
      <c r="Q389" s="18"/>
      <c r="R389" s="18"/>
      <c r="S389" s="18"/>
      <c r="T389" s="18"/>
      <c r="U389" s="18"/>
    </row>
    <row r="390">
      <c r="A390" s="14">
        <f t="shared" si="1"/>
        <v>45965</v>
      </c>
      <c r="B390" s="15" t="s">
        <v>170</v>
      </c>
      <c r="C390" s="15" t="s">
        <v>30</v>
      </c>
      <c r="D390" s="15" t="s">
        <v>892</v>
      </c>
      <c r="E390" s="16">
        <v>4.364213621E9</v>
      </c>
      <c r="F390" s="15">
        <v>4.180303895E9</v>
      </c>
      <c r="G390" s="15" t="s">
        <v>43</v>
      </c>
      <c r="H390" s="15" t="s">
        <v>893</v>
      </c>
      <c r="I390" s="15" t="s">
        <v>893</v>
      </c>
      <c r="J390" s="16">
        <v>59000.0</v>
      </c>
      <c r="K390" s="16">
        <v>1.0</v>
      </c>
      <c r="L390" s="17">
        <v>45965.57438657407</v>
      </c>
      <c r="M390" s="17">
        <v>45967.688680555555</v>
      </c>
      <c r="N390" s="17">
        <v>45978.0</v>
      </c>
      <c r="O390" s="18"/>
      <c r="P390" s="18"/>
      <c r="Q390" s="18"/>
      <c r="R390" s="18"/>
      <c r="S390" s="18"/>
      <c r="T390" s="18"/>
      <c r="U390" s="18"/>
    </row>
    <row r="391">
      <c r="A391" s="14">
        <f t="shared" si="1"/>
        <v>45965</v>
      </c>
      <c r="B391" s="15" t="s">
        <v>170</v>
      </c>
      <c r="C391" s="15" t="s">
        <v>30</v>
      </c>
      <c r="D391" s="15" t="s">
        <v>894</v>
      </c>
      <c r="E391" s="16">
        <v>4.364155105E9</v>
      </c>
      <c r="F391" s="15">
        <v>4.547685725E9</v>
      </c>
      <c r="G391" s="15" t="s">
        <v>236</v>
      </c>
      <c r="H391" s="15" t="s">
        <v>895</v>
      </c>
      <c r="I391" s="15" t="s">
        <v>896</v>
      </c>
      <c r="J391" s="16">
        <v>119000.0</v>
      </c>
      <c r="K391" s="16">
        <v>1.0</v>
      </c>
      <c r="L391" s="17">
        <v>45965.496979166666</v>
      </c>
      <c r="M391" s="17">
        <v>45966.598020833335</v>
      </c>
      <c r="N391" s="17">
        <v>45975.0</v>
      </c>
      <c r="O391" s="18"/>
      <c r="P391" s="18"/>
      <c r="Q391" s="18"/>
      <c r="R391" s="18"/>
      <c r="S391" s="18"/>
      <c r="T391" s="18"/>
      <c r="U391" s="18"/>
    </row>
    <row r="392">
      <c r="A392" s="14">
        <f t="shared" si="1"/>
        <v>45965</v>
      </c>
      <c r="B392" s="15" t="s">
        <v>170</v>
      </c>
      <c r="C392" s="15" t="s">
        <v>30</v>
      </c>
      <c r="D392" s="15" t="s">
        <v>897</v>
      </c>
      <c r="E392" s="16">
        <v>4.364148171E9</v>
      </c>
      <c r="F392" s="15">
        <v>2.774671191E9</v>
      </c>
      <c r="G392" s="15" t="s">
        <v>131</v>
      </c>
      <c r="H392" s="15" t="s">
        <v>898</v>
      </c>
      <c r="I392" s="15" t="s">
        <v>899</v>
      </c>
      <c r="J392" s="16">
        <v>144000.0</v>
      </c>
      <c r="K392" s="16">
        <v>2.0</v>
      </c>
      <c r="L392" s="17">
        <v>45965.48825231481</v>
      </c>
      <c r="M392" s="17">
        <v>45966.72293981481</v>
      </c>
      <c r="N392" s="17">
        <v>45975.0</v>
      </c>
      <c r="O392" s="18"/>
      <c r="P392" s="18"/>
      <c r="Q392" s="18"/>
      <c r="R392" s="18"/>
      <c r="S392" s="18"/>
      <c r="T392" s="18"/>
      <c r="U392" s="18"/>
    </row>
    <row r="393">
      <c r="A393" s="14">
        <f t="shared" si="1"/>
        <v>45965</v>
      </c>
      <c r="B393" s="15" t="s">
        <v>170</v>
      </c>
      <c r="C393" s="15" t="s">
        <v>30</v>
      </c>
      <c r="D393" s="15" t="s">
        <v>900</v>
      </c>
      <c r="E393" s="16">
        <v>4.364043613E9</v>
      </c>
      <c r="F393" s="15">
        <v>4.180303895E9</v>
      </c>
      <c r="G393" s="15" t="s">
        <v>43</v>
      </c>
      <c r="H393" s="15" t="s">
        <v>901</v>
      </c>
      <c r="I393" s="15" t="s">
        <v>901</v>
      </c>
      <c r="J393" s="16">
        <v>59000.0</v>
      </c>
      <c r="K393" s="16">
        <v>1.0</v>
      </c>
      <c r="L393" s="17">
        <v>45965.37488425926</v>
      </c>
      <c r="M393" s="17">
        <v>45966.75090277778</v>
      </c>
      <c r="N393" s="17">
        <v>45968.0</v>
      </c>
      <c r="O393" s="18"/>
      <c r="P393" s="18"/>
      <c r="Q393" s="18"/>
      <c r="R393" s="18"/>
      <c r="S393" s="18"/>
      <c r="T393" s="18"/>
      <c r="U393" s="18"/>
    </row>
    <row r="394">
      <c r="A394" s="14">
        <f t="shared" si="1"/>
        <v>45965</v>
      </c>
      <c r="B394" s="15" t="s">
        <v>170</v>
      </c>
      <c r="C394" s="15" t="s">
        <v>30</v>
      </c>
      <c r="D394" s="15" t="s">
        <v>902</v>
      </c>
      <c r="E394" s="16">
        <v>4.364037425E9</v>
      </c>
      <c r="F394" s="15">
        <v>4.180303895E9</v>
      </c>
      <c r="G394" s="15" t="s">
        <v>43</v>
      </c>
      <c r="H394" s="15" t="s">
        <v>903</v>
      </c>
      <c r="I394" s="15" t="s">
        <v>903</v>
      </c>
      <c r="J394" s="16">
        <v>118000.0</v>
      </c>
      <c r="K394" s="16">
        <v>2.0</v>
      </c>
      <c r="L394" s="17">
        <v>45965.367314814815</v>
      </c>
      <c r="M394" s="17">
        <v>45966.5215625</v>
      </c>
      <c r="N394" s="17">
        <v>45975.0</v>
      </c>
      <c r="O394" s="18"/>
      <c r="P394" s="18"/>
      <c r="Q394" s="18"/>
      <c r="R394" s="18"/>
      <c r="S394" s="18"/>
      <c r="T394" s="18"/>
      <c r="U394" s="18"/>
    </row>
    <row r="395">
      <c r="A395" s="14">
        <f t="shared" si="1"/>
        <v>45965</v>
      </c>
      <c r="B395" s="15" t="s">
        <v>170</v>
      </c>
      <c r="C395" s="15" t="s">
        <v>30</v>
      </c>
      <c r="D395" s="15" t="s">
        <v>904</v>
      </c>
      <c r="E395" s="16">
        <v>4.364024459E9</v>
      </c>
      <c r="F395" s="15">
        <v>4.180303895E9</v>
      </c>
      <c r="G395" s="15" t="s">
        <v>43</v>
      </c>
      <c r="H395" s="15" t="s">
        <v>905</v>
      </c>
      <c r="I395" s="15" t="s">
        <v>906</v>
      </c>
      <c r="J395" s="16">
        <v>59000.0</v>
      </c>
      <c r="K395" s="16">
        <v>1.0</v>
      </c>
      <c r="L395" s="17">
        <v>45965.34644675926</v>
      </c>
      <c r="M395" s="17">
        <v>45966.79252314815</v>
      </c>
      <c r="N395" s="17">
        <v>45968.0</v>
      </c>
      <c r="O395" s="18"/>
      <c r="P395" s="18"/>
      <c r="Q395" s="18"/>
      <c r="R395" s="18"/>
      <c r="S395" s="18"/>
      <c r="T395" s="18"/>
      <c r="U395" s="18"/>
    </row>
    <row r="396">
      <c r="A396" s="14">
        <f t="shared" si="1"/>
        <v>45965</v>
      </c>
      <c r="B396" s="15" t="s">
        <v>170</v>
      </c>
      <c r="C396" s="15" t="s">
        <v>30</v>
      </c>
      <c r="D396" s="15" t="s">
        <v>907</v>
      </c>
      <c r="E396" s="16">
        <v>4.364023712E9</v>
      </c>
      <c r="F396" s="15">
        <v>4.180303895E9</v>
      </c>
      <c r="G396" s="15" t="s">
        <v>43</v>
      </c>
      <c r="H396" s="15" t="s">
        <v>908</v>
      </c>
      <c r="I396" s="15" t="s">
        <v>908</v>
      </c>
      <c r="J396" s="16">
        <v>118000.0</v>
      </c>
      <c r="K396" s="16">
        <v>2.0</v>
      </c>
      <c r="L396" s="17">
        <v>45965.344930555555</v>
      </c>
      <c r="M396" s="17">
        <v>45966.78549768519</v>
      </c>
      <c r="N396" s="17">
        <v>45975.0</v>
      </c>
      <c r="O396" s="18"/>
      <c r="P396" s="18"/>
      <c r="Q396" s="18"/>
      <c r="R396" s="18"/>
      <c r="S396" s="18"/>
      <c r="T396" s="18"/>
      <c r="U396" s="18"/>
    </row>
    <row r="397">
      <c r="A397" s="14">
        <f t="shared" si="1"/>
        <v>693961</v>
      </c>
      <c r="B397" s="15" t="s">
        <v>47</v>
      </c>
      <c r="C397" s="15" t="s">
        <v>30</v>
      </c>
      <c r="D397" s="15" t="s">
        <v>907</v>
      </c>
      <c r="E397" s="16">
        <v>4.364022432E9</v>
      </c>
      <c r="F397" s="15">
        <v>4.180303895E9</v>
      </c>
      <c r="G397" s="15" t="s">
        <v>43</v>
      </c>
      <c r="H397" s="15" t="s">
        <v>908</v>
      </c>
      <c r="I397" s="15" t="s">
        <v>908</v>
      </c>
      <c r="J397" s="16">
        <v>118000.0</v>
      </c>
      <c r="K397" s="16">
        <v>2.0</v>
      </c>
      <c r="L397" s="20"/>
      <c r="M397" s="20"/>
      <c r="N397" s="20"/>
      <c r="O397" s="18"/>
      <c r="P397" s="18"/>
      <c r="Q397" s="18"/>
      <c r="R397" s="18"/>
      <c r="S397" s="18"/>
      <c r="T397" s="18"/>
      <c r="U397" s="18"/>
    </row>
    <row r="398">
      <c r="A398" s="14">
        <f t="shared" si="1"/>
        <v>45965</v>
      </c>
      <c r="B398" s="15" t="s">
        <v>170</v>
      </c>
      <c r="C398" s="15" t="s">
        <v>40</v>
      </c>
      <c r="D398" s="15" t="s">
        <v>909</v>
      </c>
      <c r="E398" s="16">
        <v>2.538352887E9</v>
      </c>
      <c r="F398" s="15" t="s">
        <v>468</v>
      </c>
      <c r="G398" s="15" t="s">
        <v>469</v>
      </c>
      <c r="H398" s="15" t="s">
        <v>910</v>
      </c>
      <c r="I398" s="15" t="s">
        <v>910</v>
      </c>
      <c r="J398" s="16">
        <v>65000.0</v>
      </c>
      <c r="K398" s="16">
        <v>1.0</v>
      </c>
      <c r="L398" s="17">
        <v>45965.236805555556</v>
      </c>
      <c r="M398" s="17">
        <v>45966.75439814815</v>
      </c>
      <c r="N398" s="17">
        <v>45968.71597222222</v>
      </c>
      <c r="O398" s="18"/>
      <c r="P398" s="18"/>
      <c r="Q398" s="18"/>
      <c r="R398" s="18"/>
      <c r="S398" s="18"/>
      <c r="T398" s="18"/>
      <c r="U398" s="18"/>
    </row>
    <row r="399">
      <c r="A399" s="14">
        <f t="shared" si="1"/>
        <v>45965</v>
      </c>
      <c r="B399" s="15" t="s">
        <v>170</v>
      </c>
      <c r="C399" s="15" t="s">
        <v>40</v>
      </c>
      <c r="D399" s="15" t="s">
        <v>911</v>
      </c>
      <c r="E399" s="16">
        <v>2.538349877E9</v>
      </c>
      <c r="F399" s="15" t="s">
        <v>912</v>
      </c>
      <c r="G399" s="15" t="s">
        <v>67</v>
      </c>
      <c r="H399" s="15" t="s">
        <v>913</v>
      </c>
      <c r="I399" s="15" t="s">
        <v>913</v>
      </c>
      <c r="J399" s="16">
        <v>119000.0</v>
      </c>
      <c r="K399" s="16">
        <v>1.0</v>
      </c>
      <c r="L399" s="17">
        <v>45965.14236111111</v>
      </c>
      <c r="M399" s="17">
        <v>45966.61452546297</v>
      </c>
      <c r="N399" s="17">
        <v>45974.12222222222</v>
      </c>
      <c r="O399" s="18"/>
      <c r="P399" s="18"/>
      <c r="Q399" s="18"/>
      <c r="R399" s="18"/>
      <c r="S399" s="18"/>
      <c r="T399" s="18"/>
      <c r="U399" s="18"/>
    </row>
    <row r="400">
      <c r="A400" s="14">
        <f t="shared" si="1"/>
        <v>45965</v>
      </c>
      <c r="B400" s="15" t="s">
        <v>170</v>
      </c>
      <c r="C400" s="15" t="s">
        <v>40</v>
      </c>
      <c r="D400" s="15" t="s">
        <v>914</v>
      </c>
      <c r="E400" s="16">
        <v>2.53834809E9</v>
      </c>
      <c r="F400" s="15" t="s">
        <v>42</v>
      </c>
      <c r="G400" s="15" t="s">
        <v>43</v>
      </c>
      <c r="H400" s="15" t="s">
        <v>885</v>
      </c>
      <c r="I400" s="15" t="s">
        <v>915</v>
      </c>
      <c r="J400" s="16">
        <v>118000.0</v>
      </c>
      <c r="K400" s="16">
        <v>2.0</v>
      </c>
      <c r="L400" s="17">
        <v>45965.09444444445</v>
      </c>
      <c r="M400" s="17">
        <v>45966.72056712963</v>
      </c>
      <c r="N400" s="17">
        <v>45967.643055555556</v>
      </c>
      <c r="O400" s="18"/>
      <c r="P400" s="18"/>
      <c r="Q400" s="18"/>
      <c r="R400" s="18"/>
      <c r="S400" s="18"/>
      <c r="T400" s="18"/>
      <c r="U400" s="18"/>
    </row>
    <row r="401">
      <c r="A401" s="14">
        <f t="shared" si="1"/>
        <v>45965</v>
      </c>
      <c r="B401" s="15" t="s">
        <v>170</v>
      </c>
      <c r="C401" s="15" t="s">
        <v>30</v>
      </c>
      <c r="D401" s="15" t="s">
        <v>916</v>
      </c>
      <c r="E401" s="16">
        <v>4.363962887E9</v>
      </c>
      <c r="F401" s="15">
        <v>4.546798282E9</v>
      </c>
      <c r="G401" s="15" t="s">
        <v>135</v>
      </c>
      <c r="H401" s="15" t="s">
        <v>917</v>
      </c>
      <c r="I401" s="15" t="s">
        <v>917</v>
      </c>
      <c r="J401" s="16">
        <v>218000.0</v>
      </c>
      <c r="K401" s="16">
        <v>2.0</v>
      </c>
      <c r="L401" s="17">
        <v>45965.02908564815</v>
      </c>
      <c r="M401" s="17">
        <v>45966.521585648145</v>
      </c>
      <c r="N401" s="17">
        <v>45975.0</v>
      </c>
      <c r="O401" s="18"/>
      <c r="P401" s="18"/>
      <c r="Q401" s="18"/>
      <c r="R401" s="18"/>
      <c r="S401" s="18"/>
      <c r="T401" s="18"/>
      <c r="U401" s="18"/>
    </row>
    <row r="402">
      <c r="A402" s="14">
        <f t="shared" si="1"/>
        <v>45965</v>
      </c>
      <c r="B402" s="15" t="s">
        <v>170</v>
      </c>
      <c r="C402" s="15" t="s">
        <v>30</v>
      </c>
      <c r="D402" s="15" t="s">
        <v>918</v>
      </c>
      <c r="E402" s="16">
        <v>4.363950587E9</v>
      </c>
      <c r="F402" s="15">
        <v>4.180303895E9</v>
      </c>
      <c r="G402" s="15" t="s">
        <v>43</v>
      </c>
      <c r="H402" s="15" t="s">
        <v>919</v>
      </c>
      <c r="I402" s="15" t="s">
        <v>919</v>
      </c>
      <c r="J402" s="16">
        <v>118000.0</v>
      </c>
      <c r="K402" s="16">
        <v>2.0</v>
      </c>
      <c r="L402" s="17">
        <v>45965.002071759256</v>
      </c>
      <c r="M402" s="17">
        <v>45966.66070601852</v>
      </c>
      <c r="N402" s="17">
        <v>45975.0</v>
      </c>
      <c r="O402" s="18"/>
      <c r="P402" s="18"/>
      <c r="Q402" s="18"/>
      <c r="R402" s="18"/>
      <c r="S402" s="18"/>
      <c r="T402" s="18"/>
      <c r="U402" s="18"/>
    </row>
    <row r="403">
      <c r="A403" s="14">
        <f t="shared" si="1"/>
        <v>45964</v>
      </c>
      <c r="B403" s="15" t="s">
        <v>170</v>
      </c>
      <c r="C403" s="15" t="s">
        <v>30</v>
      </c>
      <c r="D403" s="15" t="s">
        <v>920</v>
      </c>
      <c r="E403" s="16">
        <v>4.363934513E9</v>
      </c>
      <c r="F403" s="15">
        <v>4.180303895E9</v>
      </c>
      <c r="G403" s="15" t="s">
        <v>43</v>
      </c>
      <c r="H403" s="15" t="s">
        <v>921</v>
      </c>
      <c r="I403" s="15" t="s">
        <v>921</v>
      </c>
      <c r="J403" s="16">
        <v>118000.0</v>
      </c>
      <c r="K403" s="16">
        <v>2.0</v>
      </c>
      <c r="L403" s="17">
        <v>45964.98143518518</v>
      </c>
      <c r="M403" s="17">
        <v>45966.764872685184</v>
      </c>
      <c r="N403" s="17">
        <v>45975.0</v>
      </c>
      <c r="O403" s="18"/>
      <c r="P403" s="18"/>
      <c r="Q403" s="18"/>
      <c r="R403" s="18"/>
      <c r="S403" s="18"/>
      <c r="T403" s="18"/>
      <c r="U403" s="18"/>
    </row>
    <row r="404">
      <c r="A404" s="14">
        <f t="shared" si="1"/>
        <v>45964</v>
      </c>
      <c r="B404" s="15" t="s">
        <v>170</v>
      </c>
      <c r="C404" s="15" t="s">
        <v>30</v>
      </c>
      <c r="D404" s="15" t="s">
        <v>922</v>
      </c>
      <c r="E404" s="16">
        <v>4.363902818E9</v>
      </c>
      <c r="F404" s="15">
        <v>4.180303895E9</v>
      </c>
      <c r="G404" s="15" t="s">
        <v>43</v>
      </c>
      <c r="H404" s="15" t="s">
        <v>923</v>
      </c>
      <c r="I404" s="15" t="s">
        <v>923</v>
      </c>
      <c r="J404" s="16">
        <v>177000.0</v>
      </c>
      <c r="K404" s="16">
        <v>3.0</v>
      </c>
      <c r="L404" s="17">
        <v>45964.94405092593</v>
      </c>
      <c r="M404" s="17">
        <v>45966.465995370374</v>
      </c>
      <c r="N404" s="17">
        <v>45975.0</v>
      </c>
      <c r="O404" s="18"/>
      <c r="P404" s="18"/>
      <c r="Q404" s="18"/>
      <c r="R404" s="18"/>
      <c r="S404" s="18"/>
      <c r="T404" s="18"/>
      <c r="U404" s="18"/>
    </row>
    <row r="405">
      <c r="A405" s="14">
        <f t="shared" si="1"/>
        <v>45964</v>
      </c>
      <c r="B405" s="15" t="s">
        <v>170</v>
      </c>
      <c r="C405" s="15" t="s">
        <v>30</v>
      </c>
      <c r="D405" s="15" t="s">
        <v>924</v>
      </c>
      <c r="E405" s="16">
        <v>4.363900387E9</v>
      </c>
      <c r="F405" s="15">
        <v>4.180303895E9</v>
      </c>
      <c r="G405" s="15" t="s">
        <v>43</v>
      </c>
      <c r="H405" s="15" t="s">
        <v>461</v>
      </c>
      <c r="I405" s="15" t="s">
        <v>461</v>
      </c>
      <c r="J405" s="16">
        <v>59000.0</v>
      </c>
      <c r="K405" s="16">
        <v>1.0</v>
      </c>
      <c r="L405" s="17">
        <v>45964.94133101852</v>
      </c>
      <c r="M405" s="17">
        <v>45966.750868055555</v>
      </c>
      <c r="N405" s="17">
        <v>45971.0</v>
      </c>
      <c r="O405" s="18"/>
      <c r="P405" s="18"/>
      <c r="Q405" s="18"/>
      <c r="R405" s="18"/>
    </row>
    <row r="406">
      <c r="A406" s="14">
        <f t="shared" si="1"/>
        <v>45964</v>
      </c>
      <c r="B406" s="15" t="s">
        <v>170</v>
      </c>
      <c r="C406" s="15" t="s">
        <v>30</v>
      </c>
      <c r="D406" s="15" t="s">
        <v>925</v>
      </c>
      <c r="E406" s="16">
        <v>4.363888462E9</v>
      </c>
      <c r="F406" s="15">
        <v>4.180303895E9</v>
      </c>
      <c r="G406" s="15" t="s">
        <v>43</v>
      </c>
      <c r="H406" s="15" t="s">
        <v>926</v>
      </c>
      <c r="I406" s="15" t="s">
        <v>926</v>
      </c>
      <c r="J406" s="16">
        <v>59000.0</v>
      </c>
      <c r="K406" s="16">
        <v>1.0</v>
      </c>
      <c r="L406" s="17">
        <v>45964.928460648145</v>
      </c>
      <c r="M406" s="17">
        <v>45966.79253472222</v>
      </c>
      <c r="N406" s="17">
        <v>45971.0</v>
      </c>
      <c r="O406" s="18"/>
      <c r="P406" s="18"/>
      <c r="Q406" s="18"/>
      <c r="R406" s="18"/>
    </row>
    <row r="407">
      <c r="A407" s="14">
        <f t="shared" si="1"/>
        <v>693961</v>
      </c>
      <c r="B407" s="15" t="s">
        <v>47</v>
      </c>
      <c r="C407" s="15" t="s">
        <v>30</v>
      </c>
      <c r="D407" s="15" t="s">
        <v>925</v>
      </c>
      <c r="E407" s="16">
        <v>4.363887503E9</v>
      </c>
      <c r="F407" s="15">
        <v>4.180303895E9</v>
      </c>
      <c r="G407" s="15" t="s">
        <v>43</v>
      </c>
      <c r="H407" s="15" t="s">
        <v>926</v>
      </c>
      <c r="I407" s="15" t="s">
        <v>926</v>
      </c>
      <c r="J407" s="16">
        <v>59000.0</v>
      </c>
      <c r="K407" s="16">
        <v>1.0</v>
      </c>
      <c r="L407" s="20"/>
      <c r="M407" s="20"/>
      <c r="N407" s="20"/>
      <c r="O407" s="18"/>
      <c r="P407" s="18"/>
      <c r="Q407" s="18"/>
      <c r="R407" s="18"/>
    </row>
    <row r="408">
      <c r="A408" s="14">
        <f t="shared" si="1"/>
        <v>693961</v>
      </c>
      <c r="B408" s="15" t="s">
        <v>47</v>
      </c>
      <c r="C408" s="15" t="s">
        <v>30</v>
      </c>
      <c r="D408" s="15" t="s">
        <v>925</v>
      </c>
      <c r="E408" s="16">
        <v>4.363882011E9</v>
      </c>
      <c r="F408" s="15">
        <v>4.180303895E9</v>
      </c>
      <c r="G408" s="15" t="s">
        <v>43</v>
      </c>
      <c r="H408" s="15" t="s">
        <v>926</v>
      </c>
      <c r="I408" s="15" t="s">
        <v>926</v>
      </c>
      <c r="J408" s="16">
        <v>59000.0</v>
      </c>
      <c r="K408" s="16">
        <v>1.0</v>
      </c>
      <c r="L408" s="20"/>
      <c r="M408" s="20"/>
      <c r="N408" s="20"/>
      <c r="O408" s="18"/>
      <c r="P408" s="18"/>
      <c r="Q408" s="18"/>
      <c r="R408" s="18"/>
    </row>
    <row r="409">
      <c r="A409" s="14">
        <f t="shared" si="1"/>
        <v>45964</v>
      </c>
      <c r="B409" s="15" t="s">
        <v>170</v>
      </c>
      <c r="C409" s="15" t="s">
        <v>30</v>
      </c>
      <c r="D409" s="15" t="s">
        <v>927</v>
      </c>
      <c r="E409" s="16">
        <v>4.363858699E9</v>
      </c>
      <c r="F409" s="15">
        <v>4.180303895E9</v>
      </c>
      <c r="G409" s="15" t="s">
        <v>43</v>
      </c>
      <c r="H409" s="15" t="s">
        <v>928</v>
      </c>
      <c r="I409" s="15" t="s">
        <v>928</v>
      </c>
      <c r="J409" s="16">
        <v>59000.0</v>
      </c>
      <c r="K409" s="16">
        <v>1.0</v>
      </c>
      <c r="L409" s="17">
        <v>45964.89618055556</v>
      </c>
      <c r="M409" s="17">
        <v>45966.68854166667</v>
      </c>
      <c r="N409" s="17">
        <v>45975.0</v>
      </c>
      <c r="O409" s="18"/>
      <c r="P409" s="18"/>
      <c r="Q409" s="18"/>
      <c r="R409" s="18"/>
    </row>
    <row r="410">
      <c r="A410" s="14">
        <f t="shared" si="1"/>
        <v>45964</v>
      </c>
      <c r="B410" s="15" t="s">
        <v>170</v>
      </c>
      <c r="C410" s="15" t="s">
        <v>30</v>
      </c>
      <c r="D410" s="15" t="s">
        <v>929</v>
      </c>
      <c r="E410" s="16">
        <v>4.363852574E9</v>
      </c>
      <c r="F410" s="15">
        <v>4.180303895E9</v>
      </c>
      <c r="G410" s="15" t="s">
        <v>43</v>
      </c>
      <c r="H410" s="15" t="s">
        <v>930</v>
      </c>
      <c r="I410" s="15" t="s">
        <v>930</v>
      </c>
      <c r="J410" s="16">
        <v>59000.0</v>
      </c>
      <c r="K410" s="16">
        <v>1.0</v>
      </c>
      <c r="L410" s="17">
        <v>45964.889328703706</v>
      </c>
      <c r="M410" s="17">
        <v>45966.69318287037</v>
      </c>
      <c r="N410" s="17">
        <v>45968.0</v>
      </c>
      <c r="O410" s="18"/>
      <c r="P410" s="18"/>
      <c r="Q410" s="18"/>
      <c r="R410" s="18"/>
    </row>
    <row r="411">
      <c r="A411" s="14">
        <f t="shared" si="1"/>
        <v>45964</v>
      </c>
      <c r="B411" s="15" t="s">
        <v>47</v>
      </c>
      <c r="C411" s="15" t="s">
        <v>30</v>
      </c>
      <c r="D411" s="15" t="s">
        <v>931</v>
      </c>
      <c r="E411" s="16">
        <v>4.363846302E9</v>
      </c>
      <c r="F411" s="15">
        <v>2.702301401E9</v>
      </c>
      <c r="G411" s="15" t="s">
        <v>81</v>
      </c>
      <c r="H411" s="15" t="s">
        <v>932</v>
      </c>
      <c r="I411" s="15" t="s">
        <v>932</v>
      </c>
      <c r="J411" s="16">
        <v>29900.0</v>
      </c>
      <c r="K411" s="16">
        <v>1.0</v>
      </c>
      <c r="L411" s="17">
        <v>45964.8821875</v>
      </c>
      <c r="M411" s="20"/>
      <c r="N411" s="20"/>
      <c r="O411" s="18"/>
      <c r="P411" s="18"/>
      <c r="Q411" s="18"/>
      <c r="R411" s="18"/>
    </row>
    <row r="412">
      <c r="A412" s="14">
        <f t="shared" si="1"/>
        <v>45964</v>
      </c>
      <c r="B412" s="15" t="s">
        <v>170</v>
      </c>
      <c r="C412" s="15" t="s">
        <v>30</v>
      </c>
      <c r="D412" s="15" t="s">
        <v>933</v>
      </c>
      <c r="E412" s="16">
        <v>4.363827165E9</v>
      </c>
      <c r="F412" s="15">
        <v>4.547685725E9</v>
      </c>
      <c r="G412" s="15" t="s">
        <v>236</v>
      </c>
      <c r="H412" s="15" t="s">
        <v>934</v>
      </c>
      <c r="I412" s="15" t="s">
        <v>934</v>
      </c>
      <c r="J412" s="16">
        <v>119000.0</v>
      </c>
      <c r="K412" s="16">
        <v>1.0</v>
      </c>
      <c r="L412" s="17">
        <v>45964.859444444446</v>
      </c>
      <c r="M412" s="17">
        <v>45967.834131944444</v>
      </c>
      <c r="N412" s="17">
        <v>45971.0</v>
      </c>
      <c r="O412" s="18"/>
      <c r="P412" s="18"/>
      <c r="Q412" s="18"/>
      <c r="R412" s="18"/>
    </row>
    <row r="413">
      <c r="A413" s="14">
        <f t="shared" si="1"/>
        <v>45964</v>
      </c>
      <c r="B413" s="15" t="s">
        <v>170</v>
      </c>
      <c r="C413" s="15" t="s">
        <v>30</v>
      </c>
      <c r="D413" s="15" t="s">
        <v>935</v>
      </c>
      <c r="E413" s="16">
        <v>4.363821057E9</v>
      </c>
      <c r="F413" s="15">
        <v>3.357826627E9</v>
      </c>
      <c r="G413" s="15" t="s">
        <v>612</v>
      </c>
      <c r="H413" s="15" t="s">
        <v>936</v>
      </c>
      <c r="I413" s="15" t="s">
        <v>936</v>
      </c>
      <c r="J413" s="16">
        <v>29900.0</v>
      </c>
      <c r="K413" s="16">
        <v>1.0</v>
      </c>
      <c r="L413" s="17">
        <v>45964.85194444445</v>
      </c>
      <c r="M413" s="17">
        <v>45966.71613425926</v>
      </c>
      <c r="N413" s="17">
        <v>45968.0</v>
      </c>
      <c r="O413" s="18"/>
      <c r="P413" s="18"/>
      <c r="Q413" s="18"/>
      <c r="R413" s="18"/>
    </row>
    <row r="414">
      <c r="A414" s="14">
        <f t="shared" si="1"/>
        <v>45964</v>
      </c>
      <c r="B414" s="15" t="s">
        <v>170</v>
      </c>
      <c r="C414" s="15" t="s">
        <v>30</v>
      </c>
      <c r="D414" s="15" t="s">
        <v>937</v>
      </c>
      <c r="E414" s="16">
        <v>4.363817797E9</v>
      </c>
      <c r="F414" s="15">
        <v>4.180303895E9</v>
      </c>
      <c r="G414" s="15" t="s">
        <v>43</v>
      </c>
      <c r="H414" s="15" t="s">
        <v>938</v>
      </c>
      <c r="I414" s="15" t="s">
        <v>938</v>
      </c>
      <c r="J414" s="16">
        <v>59000.0</v>
      </c>
      <c r="K414" s="16">
        <v>1.0</v>
      </c>
      <c r="L414" s="17">
        <v>45964.84780092593</v>
      </c>
      <c r="M414" s="17">
        <v>45966.59820601852</v>
      </c>
      <c r="N414" s="17">
        <v>45975.0</v>
      </c>
      <c r="O414" s="18"/>
      <c r="P414" s="18"/>
      <c r="Q414" s="18"/>
      <c r="R414" s="18"/>
    </row>
    <row r="415">
      <c r="A415" s="14">
        <f t="shared" si="1"/>
        <v>45964</v>
      </c>
      <c r="B415" s="15" t="s">
        <v>170</v>
      </c>
      <c r="C415" s="15" t="s">
        <v>40</v>
      </c>
      <c r="D415" s="15" t="s">
        <v>939</v>
      </c>
      <c r="E415" s="16">
        <v>2.538295222E9</v>
      </c>
      <c r="F415" s="15" t="s">
        <v>42</v>
      </c>
      <c r="G415" s="15" t="s">
        <v>43</v>
      </c>
      <c r="H415" s="15" t="s">
        <v>940</v>
      </c>
      <c r="I415" s="15" t="s">
        <v>940</v>
      </c>
      <c r="J415" s="16">
        <v>59000.0</v>
      </c>
      <c r="K415" s="16">
        <v>1.0</v>
      </c>
      <c r="L415" s="17">
        <v>45964.79513888889</v>
      </c>
      <c r="M415" s="17">
        <v>45966.52605324074</v>
      </c>
      <c r="N415" s="17">
        <v>45974.100694444445</v>
      </c>
      <c r="O415" s="18"/>
      <c r="P415" s="18"/>
      <c r="Q415" s="18"/>
      <c r="R415" s="18"/>
    </row>
    <row r="416">
      <c r="A416" s="14">
        <f t="shared" si="1"/>
        <v>45964</v>
      </c>
      <c r="B416" s="15" t="s">
        <v>170</v>
      </c>
      <c r="C416" s="15" t="s">
        <v>30</v>
      </c>
      <c r="D416" s="15" t="s">
        <v>941</v>
      </c>
      <c r="E416" s="16">
        <v>4.363776932E9</v>
      </c>
      <c r="F416" s="15">
        <v>4.188494215E9</v>
      </c>
      <c r="G416" s="15" t="s">
        <v>38</v>
      </c>
      <c r="H416" s="15" t="s">
        <v>942</v>
      </c>
      <c r="I416" s="15" t="s">
        <v>942</v>
      </c>
      <c r="J416" s="16">
        <v>24900.0</v>
      </c>
      <c r="K416" s="16">
        <v>1.0</v>
      </c>
      <c r="L416" s="17">
        <v>45964.78778935185</v>
      </c>
      <c r="M416" s="17">
        <v>45966.53548611111</v>
      </c>
      <c r="N416" s="17">
        <v>45975.0</v>
      </c>
      <c r="O416" s="18"/>
      <c r="P416" s="18"/>
      <c r="Q416" s="18"/>
      <c r="R416" s="18"/>
    </row>
    <row r="417">
      <c r="A417" s="14">
        <f t="shared" si="1"/>
        <v>45964</v>
      </c>
      <c r="B417" s="15" t="s">
        <v>170</v>
      </c>
      <c r="C417" s="15" t="s">
        <v>30</v>
      </c>
      <c r="D417" s="15" t="s">
        <v>943</v>
      </c>
      <c r="E417" s="16">
        <v>4.363771806E9</v>
      </c>
      <c r="F417" s="15">
        <v>4.544628416E9</v>
      </c>
      <c r="G417" s="15" t="s">
        <v>811</v>
      </c>
      <c r="H417" s="15" t="s">
        <v>944</v>
      </c>
      <c r="I417" s="15" t="s">
        <v>944</v>
      </c>
      <c r="J417" s="16">
        <v>69000.0</v>
      </c>
      <c r="K417" s="16">
        <v>1.0</v>
      </c>
      <c r="L417" s="17">
        <v>45964.77966435185</v>
      </c>
      <c r="M417" s="17">
        <v>45966.70940972222</v>
      </c>
      <c r="N417" s="17">
        <v>45975.0</v>
      </c>
      <c r="O417" s="18"/>
      <c r="P417" s="18"/>
      <c r="Q417" s="18"/>
      <c r="R417" s="18"/>
    </row>
    <row r="418">
      <c r="A418" s="14">
        <f t="shared" si="1"/>
        <v>45964</v>
      </c>
      <c r="B418" s="15" t="s">
        <v>170</v>
      </c>
      <c r="C418" s="15" t="s">
        <v>30</v>
      </c>
      <c r="D418" s="15" t="s">
        <v>945</v>
      </c>
      <c r="E418" s="16">
        <v>4.363741445E9</v>
      </c>
      <c r="F418" s="15">
        <v>4.180303895E9</v>
      </c>
      <c r="G418" s="15" t="s">
        <v>43</v>
      </c>
      <c r="H418" s="15" t="s">
        <v>946</v>
      </c>
      <c r="I418" s="15" t="s">
        <v>248</v>
      </c>
      <c r="J418" s="16">
        <v>118000.0</v>
      </c>
      <c r="K418" s="16">
        <v>2.0</v>
      </c>
      <c r="L418" s="17">
        <v>45964.73038194444</v>
      </c>
      <c r="M418" s="17">
        <v>45966.549363425926</v>
      </c>
      <c r="N418" s="17">
        <v>45975.0</v>
      </c>
      <c r="O418" s="18"/>
      <c r="P418" s="18"/>
      <c r="Q418" s="18"/>
      <c r="R418" s="18"/>
    </row>
    <row r="419">
      <c r="A419" s="14">
        <f t="shared" si="1"/>
        <v>45964</v>
      </c>
      <c r="B419" s="15" t="s">
        <v>170</v>
      </c>
      <c r="C419" s="15" t="s">
        <v>40</v>
      </c>
      <c r="D419" s="15" t="s">
        <v>947</v>
      </c>
      <c r="E419" s="16">
        <v>2.538283557E9</v>
      </c>
      <c r="F419" s="15" t="s">
        <v>42</v>
      </c>
      <c r="G419" s="15" t="s">
        <v>43</v>
      </c>
      <c r="H419" s="15" t="s">
        <v>948</v>
      </c>
      <c r="I419" s="15" t="s">
        <v>948</v>
      </c>
      <c r="J419" s="16">
        <v>59000.0</v>
      </c>
      <c r="K419" s="16">
        <v>1.0</v>
      </c>
      <c r="L419" s="17">
        <v>45964.729166666664</v>
      </c>
      <c r="M419" s="17">
        <v>45966.47837962963</v>
      </c>
      <c r="N419" s="17">
        <v>45974.09652777778</v>
      </c>
      <c r="O419" s="18"/>
      <c r="P419" s="18"/>
      <c r="Q419" s="18"/>
      <c r="R419" s="18"/>
    </row>
    <row r="420">
      <c r="A420" s="14">
        <f t="shared" si="1"/>
        <v>45964</v>
      </c>
      <c r="B420" s="15" t="s">
        <v>170</v>
      </c>
      <c r="C420" s="15" t="s">
        <v>40</v>
      </c>
      <c r="D420" s="15" t="s">
        <v>949</v>
      </c>
      <c r="E420" s="16">
        <v>2.538282506E9</v>
      </c>
      <c r="F420" s="15" t="s">
        <v>226</v>
      </c>
      <c r="G420" s="15" t="s">
        <v>35</v>
      </c>
      <c r="H420" s="15" t="s">
        <v>950</v>
      </c>
      <c r="I420" s="15" t="s">
        <v>951</v>
      </c>
      <c r="J420" s="16">
        <v>65000.0</v>
      </c>
      <c r="K420" s="16">
        <v>1.0</v>
      </c>
      <c r="L420" s="17">
        <v>45964.72430555556</v>
      </c>
      <c r="M420" s="17">
        <v>45966.63982638889</v>
      </c>
      <c r="N420" s="17">
        <v>45974.09652777778</v>
      </c>
      <c r="O420" s="18"/>
      <c r="P420" s="18"/>
      <c r="Q420" s="18"/>
      <c r="R420" s="18"/>
    </row>
    <row r="421">
      <c r="A421" s="14">
        <f t="shared" si="1"/>
        <v>45964</v>
      </c>
      <c r="B421" s="15" t="s">
        <v>170</v>
      </c>
      <c r="C421" s="15" t="s">
        <v>30</v>
      </c>
      <c r="D421" s="15" t="s">
        <v>952</v>
      </c>
      <c r="E421" s="16">
        <v>4.363629811E9</v>
      </c>
      <c r="F421" s="15">
        <v>4.544686745E9</v>
      </c>
      <c r="G421" s="15" t="s">
        <v>67</v>
      </c>
      <c r="H421" s="15" t="s">
        <v>953</v>
      </c>
      <c r="I421" s="15" t="s">
        <v>953</v>
      </c>
      <c r="J421" s="16">
        <v>119000.0</v>
      </c>
      <c r="K421" s="16">
        <v>1.0</v>
      </c>
      <c r="L421" s="17">
        <v>45964.60039351852</v>
      </c>
      <c r="M421" s="17">
        <v>45966.71622685185</v>
      </c>
      <c r="N421" s="17">
        <v>45971.0</v>
      </c>
      <c r="O421" s="18"/>
      <c r="P421" s="18"/>
      <c r="Q421" s="18"/>
      <c r="R421" s="18"/>
    </row>
    <row r="422">
      <c r="A422" s="14">
        <f t="shared" si="1"/>
        <v>45964</v>
      </c>
      <c r="B422" s="15" t="s">
        <v>170</v>
      </c>
      <c r="C422" s="15" t="s">
        <v>30</v>
      </c>
      <c r="D422" s="15" t="s">
        <v>954</v>
      </c>
      <c r="E422" s="16">
        <v>4.363607774E9</v>
      </c>
      <c r="F422" s="15">
        <v>4.544699629E9</v>
      </c>
      <c r="G422" s="15" t="s">
        <v>212</v>
      </c>
      <c r="H422" s="15" t="s">
        <v>955</v>
      </c>
      <c r="I422" s="15" t="s">
        <v>955</v>
      </c>
      <c r="J422" s="16">
        <v>145000.0</v>
      </c>
      <c r="K422" s="16">
        <v>1.0</v>
      </c>
      <c r="L422" s="17">
        <v>45964.57809027778</v>
      </c>
      <c r="M422" s="17">
        <v>45966.910474537035</v>
      </c>
      <c r="N422" s="17">
        <v>45975.0</v>
      </c>
      <c r="O422" s="18"/>
      <c r="P422" s="18"/>
      <c r="Q422" s="18"/>
      <c r="R422" s="18"/>
    </row>
    <row r="423">
      <c r="A423" s="14">
        <f t="shared" si="1"/>
        <v>45964</v>
      </c>
      <c r="B423" s="15" t="s">
        <v>50</v>
      </c>
      <c r="C423" s="15" t="s">
        <v>40</v>
      </c>
      <c r="D423" s="15" t="s">
        <v>956</v>
      </c>
      <c r="E423" s="16">
        <v>2.538249494E9</v>
      </c>
      <c r="F423" s="15" t="s">
        <v>226</v>
      </c>
      <c r="G423" s="15" t="s">
        <v>35</v>
      </c>
      <c r="H423" s="15" t="s">
        <v>957</v>
      </c>
      <c r="I423" s="15" t="s">
        <v>958</v>
      </c>
      <c r="J423" s="16">
        <v>65000.0</v>
      </c>
      <c r="K423" s="16">
        <v>1.0</v>
      </c>
      <c r="L423" s="17">
        <v>45964.575694444444</v>
      </c>
      <c r="M423" s="20"/>
      <c r="N423" s="20"/>
      <c r="O423" s="18"/>
      <c r="P423" s="18"/>
      <c r="Q423" s="18"/>
      <c r="R423" s="18"/>
    </row>
    <row r="424">
      <c r="A424" s="14">
        <f t="shared" si="1"/>
        <v>45964</v>
      </c>
      <c r="B424" s="15" t="s">
        <v>170</v>
      </c>
      <c r="C424" s="15" t="s">
        <v>30</v>
      </c>
      <c r="D424" s="15" t="s">
        <v>959</v>
      </c>
      <c r="E424" s="16">
        <v>4.363553353E9</v>
      </c>
      <c r="F424" s="15">
        <v>4.180303895E9</v>
      </c>
      <c r="G424" s="15" t="s">
        <v>43</v>
      </c>
      <c r="H424" s="15" t="s">
        <v>960</v>
      </c>
      <c r="I424" s="15" t="s">
        <v>960</v>
      </c>
      <c r="J424" s="16">
        <v>59000.0</v>
      </c>
      <c r="K424" s="16">
        <v>1.0</v>
      </c>
      <c r="L424" s="17">
        <v>45964.52060185185</v>
      </c>
      <c r="M424" s="17">
        <v>45965.79953703703</v>
      </c>
      <c r="N424" s="17">
        <v>45966.0</v>
      </c>
      <c r="O424" s="18"/>
      <c r="P424" s="18"/>
      <c r="Q424" s="18"/>
      <c r="R424" s="18"/>
    </row>
    <row r="425">
      <c r="A425" s="14">
        <f t="shared" si="1"/>
        <v>45964</v>
      </c>
      <c r="B425" s="15" t="s">
        <v>170</v>
      </c>
      <c r="C425" s="15" t="s">
        <v>30</v>
      </c>
      <c r="D425" s="15" t="s">
        <v>961</v>
      </c>
      <c r="E425" s="16">
        <v>4.363544699E9</v>
      </c>
      <c r="F425" s="15">
        <v>4.188494215E9</v>
      </c>
      <c r="G425" s="15" t="s">
        <v>38</v>
      </c>
      <c r="H425" s="15" t="s">
        <v>962</v>
      </c>
      <c r="I425" s="15" t="s">
        <v>962</v>
      </c>
      <c r="J425" s="16">
        <v>24900.0</v>
      </c>
      <c r="K425" s="16">
        <v>1.0</v>
      </c>
      <c r="L425" s="17">
        <v>45964.51001157407</v>
      </c>
      <c r="M425" s="17">
        <v>45965.72304398148</v>
      </c>
      <c r="N425" s="17">
        <v>45967.0</v>
      </c>
      <c r="O425" s="18"/>
      <c r="P425" s="18"/>
      <c r="Q425" s="18"/>
      <c r="R425" s="18"/>
    </row>
    <row r="426">
      <c r="A426" s="14">
        <f t="shared" si="1"/>
        <v>45964</v>
      </c>
      <c r="B426" s="15" t="s">
        <v>170</v>
      </c>
      <c r="C426" s="15" t="s">
        <v>30</v>
      </c>
      <c r="D426" s="15" t="s">
        <v>963</v>
      </c>
      <c r="E426" s="16">
        <v>4.363537872E9</v>
      </c>
      <c r="F426" s="15">
        <v>4.180303895E9</v>
      </c>
      <c r="G426" s="15" t="s">
        <v>43</v>
      </c>
      <c r="H426" s="15" t="s">
        <v>964</v>
      </c>
      <c r="I426" s="15" t="s">
        <v>964</v>
      </c>
      <c r="J426" s="16">
        <v>118000.0</v>
      </c>
      <c r="K426" s="16">
        <v>2.0</v>
      </c>
      <c r="L426" s="17">
        <v>45964.50188657407</v>
      </c>
      <c r="M426" s="17">
        <v>45965.89659722222</v>
      </c>
      <c r="N426" s="17">
        <v>45967.0</v>
      </c>
      <c r="O426" s="18"/>
      <c r="P426" s="18"/>
      <c r="Q426" s="18"/>
      <c r="R426" s="18"/>
    </row>
    <row r="427">
      <c r="A427" s="14">
        <f t="shared" si="1"/>
        <v>45964</v>
      </c>
      <c r="B427" s="15" t="s">
        <v>170</v>
      </c>
      <c r="C427" s="15" t="s">
        <v>30</v>
      </c>
      <c r="D427" s="15" t="s">
        <v>965</v>
      </c>
      <c r="E427" s="16">
        <v>4.363533557E9</v>
      </c>
      <c r="F427" s="15">
        <v>4.113890503E9</v>
      </c>
      <c r="G427" s="15" t="s">
        <v>509</v>
      </c>
      <c r="H427" s="15" t="s">
        <v>966</v>
      </c>
      <c r="I427" s="15" t="s">
        <v>966</v>
      </c>
      <c r="J427" s="16">
        <v>14500.0</v>
      </c>
      <c r="K427" s="16">
        <v>1.0</v>
      </c>
      <c r="L427" s="17">
        <v>45964.497025462966</v>
      </c>
      <c r="M427" s="17">
        <v>45965.562743055554</v>
      </c>
      <c r="N427" s="17">
        <v>45974.0</v>
      </c>
      <c r="O427" s="18"/>
      <c r="P427" s="18"/>
      <c r="Q427" s="18"/>
      <c r="R427" s="18"/>
    </row>
    <row r="428">
      <c r="A428" s="14">
        <f t="shared" si="1"/>
        <v>45964</v>
      </c>
      <c r="B428" s="15" t="s">
        <v>170</v>
      </c>
      <c r="C428" s="15" t="s">
        <v>30</v>
      </c>
      <c r="D428" s="15" t="s">
        <v>967</v>
      </c>
      <c r="E428" s="16">
        <v>4.363513005E9</v>
      </c>
      <c r="F428" s="15">
        <v>4.544660026E9</v>
      </c>
      <c r="G428" s="15" t="s">
        <v>968</v>
      </c>
      <c r="H428" s="15" t="s">
        <v>969</v>
      </c>
      <c r="I428" s="15" t="s">
        <v>969</v>
      </c>
      <c r="J428" s="16">
        <v>109000.0</v>
      </c>
      <c r="K428" s="16">
        <v>1.0</v>
      </c>
      <c r="L428" s="17">
        <v>45964.47738425926</v>
      </c>
      <c r="M428" s="17">
        <v>45968.62594907408</v>
      </c>
      <c r="N428" s="17">
        <v>45978.0</v>
      </c>
      <c r="O428" s="18"/>
      <c r="P428" s="18"/>
      <c r="Q428" s="18"/>
      <c r="R428" s="18"/>
    </row>
    <row r="429">
      <c r="A429" s="14">
        <f t="shared" si="1"/>
        <v>45964</v>
      </c>
      <c r="B429" s="15" t="s">
        <v>170</v>
      </c>
      <c r="C429" s="15" t="s">
        <v>30</v>
      </c>
      <c r="D429" s="15" t="s">
        <v>970</v>
      </c>
      <c r="E429" s="16">
        <v>4.363510503E9</v>
      </c>
      <c r="F429" s="15">
        <v>4.188494215E9</v>
      </c>
      <c r="G429" s="15" t="s">
        <v>38</v>
      </c>
      <c r="H429" s="15" t="s">
        <v>971</v>
      </c>
      <c r="I429" s="15" t="s">
        <v>972</v>
      </c>
      <c r="J429" s="16">
        <v>24900.0</v>
      </c>
      <c r="K429" s="16">
        <v>1.0</v>
      </c>
      <c r="L429" s="17">
        <v>45964.47521990741</v>
      </c>
      <c r="M429" s="17">
        <v>45965.80633101852</v>
      </c>
      <c r="N429" s="17">
        <v>45974.0</v>
      </c>
      <c r="O429" s="18"/>
      <c r="P429" s="18"/>
      <c r="Q429" s="18"/>
      <c r="R429" s="18"/>
    </row>
    <row r="430">
      <c r="A430" s="14">
        <f t="shared" si="1"/>
        <v>45964</v>
      </c>
      <c r="B430" s="15" t="s">
        <v>47</v>
      </c>
      <c r="C430" s="15" t="s">
        <v>30</v>
      </c>
      <c r="D430" s="15" t="s">
        <v>973</v>
      </c>
      <c r="E430" s="16">
        <v>4.363507921E9</v>
      </c>
      <c r="F430" s="15">
        <v>4.547685725E9</v>
      </c>
      <c r="G430" s="15" t="s">
        <v>236</v>
      </c>
      <c r="H430" s="15" t="s">
        <v>974</v>
      </c>
      <c r="I430" s="15" t="s">
        <v>974</v>
      </c>
      <c r="J430" s="16">
        <v>119000.0</v>
      </c>
      <c r="K430" s="16">
        <v>1.0</v>
      </c>
      <c r="L430" s="17">
        <v>45964.47289351852</v>
      </c>
      <c r="M430" s="20"/>
      <c r="N430" s="20"/>
      <c r="O430" s="18"/>
      <c r="P430" s="18"/>
      <c r="Q430" s="18"/>
      <c r="R430" s="18"/>
    </row>
    <row r="431">
      <c r="A431" s="14">
        <f t="shared" si="1"/>
        <v>45964</v>
      </c>
      <c r="B431" s="15" t="s">
        <v>47</v>
      </c>
      <c r="C431" s="15" t="s">
        <v>30</v>
      </c>
      <c r="D431" s="15" t="s">
        <v>973</v>
      </c>
      <c r="E431" s="16">
        <v>4.363507922E9</v>
      </c>
      <c r="F431" s="15">
        <v>4.547685725E9</v>
      </c>
      <c r="G431" s="15" t="s">
        <v>236</v>
      </c>
      <c r="H431" s="15" t="s">
        <v>974</v>
      </c>
      <c r="I431" s="15" t="s">
        <v>974</v>
      </c>
      <c r="J431" s="16">
        <v>119000.0</v>
      </c>
      <c r="K431" s="16">
        <v>1.0</v>
      </c>
      <c r="L431" s="17">
        <v>45964.47289351852</v>
      </c>
      <c r="M431" s="20"/>
      <c r="N431" s="20"/>
      <c r="O431" s="18"/>
      <c r="P431" s="18"/>
      <c r="Q431" s="18"/>
      <c r="R431" s="18"/>
    </row>
    <row r="432">
      <c r="A432" s="14">
        <f t="shared" si="1"/>
        <v>45964</v>
      </c>
      <c r="B432" s="15" t="s">
        <v>290</v>
      </c>
      <c r="C432" s="15" t="s">
        <v>30</v>
      </c>
      <c r="D432" s="15" t="s">
        <v>975</v>
      </c>
      <c r="E432" s="16">
        <v>4.363503452E9</v>
      </c>
      <c r="F432" s="15">
        <v>4.180303895E9</v>
      </c>
      <c r="G432" s="15" t="s">
        <v>43</v>
      </c>
      <c r="H432" s="15" t="s">
        <v>976</v>
      </c>
      <c r="I432" s="15" t="s">
        <v>976</v>
      </c>
      <c r="J432" s="16">
        <v>59000.0</v>
      </c>
      <c r="K432" s="16">
        <v>1.0</v>
      </c>
      <c r="L432" s="17">
        <v>45964.46927083333</v>
      </c>
      <c r="M432" s="17">
        <v>45965.98679398148</v>
      </c>
      <c r="N432" s="20"/>
      <c r="O432" s="18"/>
      <c r="P432" s="18"/>
      <c r="Q432" s="18"/>
      <c r="R432" s="18"/>
    </row>
    <row r="433">
      <c r="A433" s="14">
        <f t="shared" si="1"/>
        <v>45964</v>
      </c>
      <c r="B433" s="15" t="s">
        <v>170</v>
      </c>
      <c r="C433" s="15" t="s">
        <v>30</v>
      </c>
      <c r="D433" s="15" t="s">
        <v>977</v>
      </c>
      <c r="E433" s="16">
        <v>4.363466922E9</v>
      </c>
      <c r="F433" s="15">
        <v>4.180303895E9</v>
      </c>
      <c r="G433" s="15" t="s">
        <v>43</v>
      </c>
      <c r="H433" s="15" t="s">
        <v>978</v>
      </c>
      <c r="I433" s="15" t="s">
        <v>978</v>
      </c>
      <c r="J433" s="16">
        <v>59000.0</v>
      </c>
      <c r="K433" s="16">
        <v>1.0</v>
      </c>
      <c r="L433" s="17">
        <v>45964.43817129629</v>
      </c>
      <c r="M433" s="17">
        <v>45965.66747685185</v>
      </c>
      <c r="N433" s="17">
        <v>45974.0</v>
      </c>
      <c r="O433" s="18"/>
      <c r="P433" s="18"/>
      <c r="Q433" s="18"/>
      <c r="R433" s="18"/>
    </row>
    <row r="434">
      <c r="A434" s="14">
        <f t="shared" si="1"/>
        <v>45964</v>
      </c>
      <c r="B434" s="15" t="s">
        <v>170</v>
      </c>
      <c r="C434" s="15" t="s">
        <v>40</v>
      </c>
      <c r="D434" s="15" t="s">
        <v>979</v>
      </c>
      <c r="E434" s="16">
        <v>2.538211226E9</v>
      </c>
      <c r="F434" s="15" t="s">
        <v>42</v>
      </c>
      <c r="G434" s="15" t="s">
        <v>43</v>
      </c>
      <c r="H434" s="15" t="s">
        <v>980</v>
      </c>
      <c r="I434" s="15" t="s">
        <v>980</v>
      </c>
      <c r="J434" s="16">
        <v>118000.0</v>
      </c>
      <c r="K434" s="16">
        <v>2.0</v>
      </c>
      <c r="L434" s="17">
        <v>45964.425</v>
      </c>
      <c r="M434" s="17">
        <v>45966.5287962963</v>
      </c>
      <c r="N434" s="17">
        <v>45974.07638888889</v>
      </c>
      <c r="O434" s="18"/>
      <c r="P434" s="18"/>
      <c r="Q434" s="18"/>
      <c r="R434" s="18"/>
    </row>
    <row r="435">
      <c r="A435" s="14">
        <f t="shared" si="1"/>
        <v>45964</v>
      </c>
      <c r="B435" s="15" t="s">
        <v>170</v>
      </c>
      <c r="C435" s="15" t="s">
        <v>40</v>
      </c>
      <c r="D435" s="15" t="s">
        <v>981</v>
      </c>
      <c r="E435" s="16">
        <v>2.538201518E9</v>
      </c>
      <c r="F435" s="15" t="s">
        <v>42</v>
      </c>
      <c r="G435" s="15" t="s">
        <v>43</v>
      </c>
      <c r="H435" s="15" t="s">
        <v>982</v>
      </c>
      <c r="I435" s="15" t="s">
        <v>982</v>
      </c>
      <c r="J435" s="16">
        <v>59000.0</v>
      </c>
      <c r="K435" s="16">
        <v>1.0</v>
      </c>
      <c r="L435" s="17">
        <v>45964.38611111111</v>
      </c>
      <c r="M435" s="17">
        <v>45966.6896412037</v>
      </c>
      <c r="N435" s="17">
        <v>45974.075</v>
      </c>
      <c r="O435" s="18"/>
      <c r="P435" s="18"/>
      <c r="Q435" s="18"/>
      <c r="R435" s="18"/>
    </row>
    <row r="436">
      <c r="A436" s="14">
        <f t="shared" si="1"/>
        <v>45964</v>
      </c>
      <c r="B436" s="15" t="s">
        <v>170</v>
      </c>
      <c r="C436" s="15" t="s">
        <v>30</v>
      </c>
      <c r="D436" s="15" t="s">
        <v>983</v>
      </c>
      <c r="E436" s="16">
        <v>4.363386023E9</v>
      </c>
      <c r="F436" s="15">
        <v>4.180347851E9</v>
      </c>
      <c r="G436" s="15" t="s">
        <v>264</v>
      </c>
      <c r="H436" s="15" t="s">
        <v>984</v>
      </c>
      <c r="I436" s="15" t="s">
        <v>984</v>
      </c>
      <c r="J436" s="16">
        <v>119000.0</v>
      </c>
      <c r="K436" s="16">
        <v>1.0</v>
      </c>
      <c r="L436" s="17">
        <v>45964.35166666667</v>
      </c>
      <c r="M436" s="17">
        <v>45965.723229166666</v>
      </c>
      <c r="N436" s="17">
        <v>45974.0</v>
      </c>
      <c r="O436" s="18"/>
      <c r="P436" s="18"/>
      <c r="Q436" s="18"/>
      <c r="R436" s="18"/>
    </row>
    <row r="437">
      <c r="A437" s="14">
        <f t="shared" si="1"/>
        <v>45964</v>
      </c>
      <c r="B437" s="15" t="s">
        <v>170</v>
      </c>
      <c r="C437" s="15" t="s">
        <v>30</v>
      </c>
      <c r="D437" s="15" t="s">
        <v>985</v>
      </c>
      <c r="E437" s="16">
        <v>4.363368414E9</v>
      </c>
      <c r="F437" s="15">
        <v>4.113890503E9</v>
      </c>
      <c r="G437" s="15" t="s">
        <v>509</v>
      </c>
      <c r="H437" s="15" t="s">
        <v>986</v>
      </c>
      <c r="I437" s="15" t="s">
        <v>986</v>
      </c>
      <c r="J437" s="16">
        <v>14500.0</v>
      </c>
      <c r="K437" s="16">
        <v>1.0</v>
      </c>
      <c r="L437" s="17">
        <v>45964.318032407406</v>
      </c>
      <c r="M437" s="17">
        <v>45965.834074074075</v>
      </c>
      <c r="N437" s="17">
        <v>45974.0</v>
      </c>
      <c r="O437" s="18"/>
      <c r="P437" s="18"/>
      <c r="Q437" s="18"/>
      <c r="R437" s="18"/>
    </row>
    <row r="438">
      <c r="A438" s="14">
        <f t="shared" si="1"/>
        <v>45964</v>
      </c>
      <c r="B438" s="15" t="s">
        <v>47</v>
      </c>
      <c r="C438" s="15" t="s">
        <v>30</v>
      </c>
      <c r="D438" s="15" t="s">
        <v>987</v>
      </c>
      <c r="E438" s="16">
        <v>4.363365877E9</v>
      </c>
      <c r="F438" s="15">
        <v>4.113890503E9</v>
      </c>
      <c r="G438" s="15" t="s">
        <v>509</v>
      </c>
      <c r="H438" s="15" t="s">
        <v>988</v>
      </c>
      <c r="I438" s="15" t="s">
        <v>988</v>
      </c>
      <c r="J438" s="16">
        <v>14500.0</v>
      </c>
      <c r="K438" s="16">
        <v>1.0</v>
      </c>
      <c r="L438" s="17">
        <v>45964.31244212963</v>
      </c>
      <c r="M438" s="20"/>
      <c r="N438" s="20"/>
      <c r="O438" s="18"/>
      <c r="P438" s="18"/>
      <c r="Q438" s="18"/>
      <c r="R438" s="18"/>
    </row>
    <row r="439">
      <c r="A439" s="14">
        <f t="shared" si="1"/>
        <v>45964</v>
      </c>
      <c r="B439" s="15" t="s">
        <v>170</v>
      </c>
      <c r="C439" s="15" t="s">
        <v>30</v>
      </c>
      <c r="D439" s="15" t="s">
        <v>989</v>
      </c>
      <c r="E439" s="16">
        <v>4.363363819E9</v>
      </c>
      <c r="F439" s="15">
        <v>4.180303895E9</v>
      </c>
      <c r="G439" s="15" t="s">
        <v>43</v>
      </c>
      <c r="H439" s="15" t="s">
        <v>990</v>
      </c>
      <c r="I439" s="15" t="s">
        <v>990</v>
      </c>
      <c r="J439" s="16">
        <v>118000.0</v>
      </c>
      <c r="K439" s="16">
        <v>2.0</v>
      </c>
      <c r="L439" s="17">
        <v>45964.3075</v>
      </c>
      <c r="M439" s="17">
        <v>45966.67459490741</v>
      </c>
      <c r="N439" s="17">
        <v>45975.0</v>
      </c>
      <c r="O439" s="18"/>
      <c r="P439" s="18"/>
      <c r="Q439" s="18"/>
      <c r="R439" s="18"/>
    </row>
    <row r="440">
      <c r="A440" s="14">
        <f t="shared" si="1"/>
        <v>45964</v>
      </c>
      <c r="B440" s="15" t="s">
        <v>290</v>
      </c>
      <c r="C440" s="15" t="s">
        <v>30</v>
      </c>
      <c r="D440" s="15" t="s">
        <v>991</v>
      </c>
      <c r="E440" s="16">
        <v>4.363358569E9</v>
      </c>
      <c r="F440" s="15">
        <v>4.180303895E9</v>
      </c>
      <c r="G440" s="15" t="s">
        <v>43</v>
      </c>
      <c r="H440" s="15" t="s">
        <v>992</v>
      </c>
      <c r="I440" s="15" t="s">
        <v>992</v>
      </c>
      <c r="J440" s="16">
        <v>59000.0</v>
      </c>
      <c r="K440" s="16">
        <v>1.0</v>
      </c>
      <c r="L440" s="17">
        <v>45964.29331018519</v>
      </c>
      <c r="M440" s="17">
        <v>45966.74383101852</v>
      </c>
      <c r="N440" s="20"/>
      <c r="O440" s="18"/>
      <c r="P440" s="18"/>
      <c r="Q440" s="18"/>
      <c r="R440" s="18"/>
    </row>
    <row r="441">
      <c r="A441" s="14">
        <f t="shared" si="1"/>
        <v>45964</v>
      </c>
      <c r="B441" s="15" t="s">
        <v>170</v>
      </c>
      <c r="C441" s="15" t="s">
        <v>30</v>
      </c>
      <c r="D441" s="15" t="s">
        <v>993</v>
      </c>
      <c r="E441" s="16">
        <v>4.363345531E9</v>
      </c>
      <c r="F441" s="15">
        <v>4.180303895E9</v>
      </c>
      <c r="G441" s="15" t="s">
        <v>43</v>
      </c>
      <c r="H441" s="15" t="s">
        <v>994</v>
      </c>
      <c r="I441" s="15" t="s">
        <v>994</v>
      </c>
      <c r="J441" s="16">
        <v>59000.0</v>
      </c>
      <c r="K441" s="16">
        <v>1.0</v>
      </c>
      <c r="L441" s="17">
        <v>45964.22626157408</v>
      </c>
      <c r="M441" s="17">
        <v>45966.67459490741</v>
      </c>
      <c r="N441" s="17">
        <v>45975.0</v>
      </c>
      <c r="O441" s="18"/>
      <c r="P441" s="18"/>
      <c r="Q441" s="18"/>
      <c r="R441" s="18"/>
    </row>
    <row r="442">
      <c r="A442" s="14">
        <f t="shared" si="1"/>
        <v>45964</v>
      </c>
      <c r="B442" s="15" t="s">
        <v>170</v>
      </c>
      <c r="C442" s="15" t="s">
        <v>30</v>
      </c>
      <c r="D442" s="15" t="s">
        <v>995</v>
      </c>
      <c r="E442" s="16">
        <v>4.363322565E9</v>
      </c>
      <c r="F442" s="15">
        <v>4.180303895E9</v>
      </c>
      <c r="G442" s="15" t="s">
        <v>43</v>
      </c>
      <c r="H442" s="15" t="s">
        <v>996</v>
      </c>
      <c r="I442" s="15" t="s">
        <v>996</v>
      </c>
      <c r="J442" s="16">
        <v>118000.0</v>
      </c>
      <c r="K442" s="16">
        <v>2.0</v>
      </c>
      <c r="L442" s="17">
        <v>45964.07009259259</v>
      </c>
      <c r="M442" s="17">
        <v>45966.67459490741</v>
      </c>
      <c r="N442" s="17">
        <v>45975.0</v>
      </c>
      <c r="O442" s="18"/>
      <c r="P442" s="18"/>
      <c r="Q442" s="18"/>
      <c r="R442" s="18"/>
    </row>
    <row r="443">
      <c r="A443" s="14">
        <f t="shared" si="1"/>
        <v>45963</v>
      </c>
      <c r="B443" s="15" t="s">
        <v>170</v>
      </c>
      <c r="C443" s="15" t="s">
        <v>30</v>
      </c>
      <c r="D443" s="15" t="s">
        <v>997</v>
      </c>
      <c r="E443" s="16">
        <v>4.363230894E9</v>
      </c>
      <c r="F443" s="15">
        <v>4.113880902E9</v>
      </c>
      <c r="G443" s="15" t="s">
        <v>58</v>
      </c>
      <c r="H443" s="15" t="s">
        <v>998</v>
      </c>
      <c r="I443" s="15" t="s">
        <v>999</v>
      </c>
      <c r="J443" s="16">
        <v>14500.0</v>
      </c>
      <c r="K443" s="16">
        <v>1.0</v>
      </c>
      <c r="L443" s="17">
        <v>45963.942349537036</v>
      </c>
      <c r="M443" s="17">
        <v>45965.78545138889</v>
      </c>
      <c r="N443" s="17">
        <v>45974.0</v>
      </c>
      <c r="O443" s="18"/>
      <c r="P443" s="18"/>
      <c r="Q443" s="18"/>
      <c r="R443" s="18"/>
    </row>
    <row r="444">
      <c r="A444" s="14">
        <f t="shared" si="1"/>
        <v>45963</v>
      </c>
      <c r="B444" s="15" t="s">
        <v>170</v>
      </c>
      <c r="C444" s="15" t="s">
        <v>30</v>
      </c>
      <c r="D444" s="15" t="s">
        <v>1000</v>
      </c>
      <c r="E444" s="16">
        <v>4.363204328E9</v>
      </c>
      <c r="F444" s="15">
        <v>4.180303895E9</v>
      </c>
      <c r="G444" s="15" t="s">
        <v>43</v>
      </c>
      <c r="H444" s="15" t="s">
        <v>1001</v>
      </c>
      <c r="I444" s="15" t="s">
        <v>1001</v>
      </c>
      <c r="J444" s="16">
        <v>118000.0</v>
      </c>
      <c r="K444" s="16">
        <v>2.0</v>
      </c>
      <c r="L444" s="17">
        <v>45963.91563657407</v>
      </c>
      <c r="M444" s="17">
        <v>45965.8966087963</v>
      </c>
      <c r="N444" s="17">
        <v>45974.0</v>
      </c>
      <c r="O444" s="18"/>
      <c r="P444" s="18"/>
      <c r="Q444" s="18"/>
      <c r="R444" s="18"/>
    </row>
    <row r="445">
      <c r="A445" s="14">
        <f t="shared" si="1"/>
        <v>45963</v>
      </c>
      <c r="B445" s="15" t="s">
        <v>170</v>
      </c>
      <c r="C445" s="15" t="s">
        <v>30</v>
      </c>
      <c r="D445" s="15" t="s">
        <v>1002</v>
      </c>
      <c r="E445" s="16">
        <v>4.363200479E9</v>
      </c>
      <c r="F445" s="15">
        <v>1.784307306E9</v>
      </c>
      <c r="G445" s="15" t="s">
        <v>55</v>
      </c>
      <c r="H445" s="15" t="s">
        <v>1003</v>
      </c>
      <c r="I445" s="15" t="s">
        <v>1003</v>
      </c>
      <c r="J445" s="16">
        <v>47900.0</v>
      </c>
      <c r="K445" s="16">
        <v>1.0</v>
      </c>
      <c r="L445" s="17">
        <v>45963.911782407406</v>
      </c>
      <c r="M445" s="17">
        <v>45966.084016203706</v>
      </c>
      <c r="N445" s="17">
        <v>45975.0</v>
      </c>
      <c r="O445" s="18"/>
      <c r="P445" s="18"/>
      <c r="Q445" s="18"/>
    </row>
    <row r="446">
      <c r="A446" s="14">
        <f t="shared" si="1"/>
        <v>45963</v>
      </c>
      <c r="B446" s="15" t="s">
        <v>170</v>
      </c>
      <c r="C446" s="15" t="s">
        <v>30</v>
      </c>
      <c r="D446" s="15" t="s">
        <v>1004</v>
      </c>
      <c r="E446" s="16">
        <v>4.363197879E9</v>
      </c>
      <c r="F446" s="15">
        <v>4.546798282E9</v>
      </c>
      <c r="G446" s="15" t="s">
        <v>135</v>
      </c>
      <c r="H446" s="15" t="s">
        <v>1005</v>
      </c>
      <c r="I446" s="15" t="s">
        <v>1005</v>
      </c>
      <c r="J446" s="16">
        <v>218000.0</v>
      </c>
      <c r="K446" s="16">
        <v>2.0</v>
      </c>
      <c r="L446" s="17">
        <v>45963.909097222226</v>
      </c>
      <c r="M446" s="17">
        <v>45967.70922453704</v>
      </c>
      <c r="N446" s="17">
        <v>45978.0</v>
      </c>
      <c r="O446" s="18"/>
      <c r="P446" s="18"/>
      <c r="Q446" s="18"/>
    </row>
    <row r="447">
      <c r="A447" s="14">
        <f t="shared" si="1"/>
        <v>45963</v>
      </c>
      <c r="B447" s="15" t="s">
        <v>170</v>
      </c>
      <c r="C447" s="15" t="s">
        <v>30</v>
      </c>
      <c r="D447" s="15" t="s">
        <v>1006</v>
      </c>
      <c r="E447" s="16">
        <v>4.363187028E9</v>
      </c>
      <c r="F447" s="15">
        <v>4.547685725E9</v>
      </c>
      <c r="G447" s="15" t="s">
        <v>236</v>
      </c>
      <c r="H447" s="15" t="s">
        <v>1007</v>
      </c>
      <c r="I447" s="15" t="s">
        <v>1007</v>
      </c>
      <c r="J447" s="16">
        <v>119000.0</v>
      </c>
      <c r="K447" s="16">
        <v>1.0</v>
      </c>
      <c r="L447" s="17">
        <v>45963.8978125</v>
      </c>
      <c r="M447" s="17">
        <v>45966.72329861111</v>
      </c>
      <c r="N447" s="17">
        <v>45975.0</v>
      </c>
      <c r="O447" s="18"/>
      <c r="P447" s="18"/>
      <c r="Q447" s="18"/>
    </row>
    <row r="448">
      <c r="A448" s="14">
        <f t="shared" si="1"/>
        <v>45963</v>
      </c>
      <c r="B448" s="15" t="s">
        <v>170</v>
      </c>
      <c r="C448" s="15" t="s">
        <v>30</v>
      </c>
      <c r="D448" s="15" t="s">
        <v>1008</v>
      </c>
      <c r="E448" s="16">
        <v>4.363183627E9</v>
      </c>
      <c r="F448" s="15">
        <v>4.180303895E9</v>
      </c>
      <c r="G448" s="15" t="s">
        <v>43</v>
      </c>
      <c r="H448" s="15" t="s">
        <v>1009</v>
      </c>
      <c r="I448" s="15" t="s">
        <v>1009</v>
      </c>
      <c r="J448" s="16">
        <v>118000.0</v>
      </c>
      <c r="K448" s="16">
        <v>2.0</v>
      </c>
      <c r="L448" s="17">
        <v>45963.894467592596</v>
      </c>
      <c r="M448" s="17">
        <v>45966.570335648146</v>
      </c>
      <c r="N448" s="17">
        <v>45975.0</v>
      </c>
      <c r="O448" s="18"/>
      <c r="P448" s="18"/>
      <c r="Q448" s="18"/>
    </row>
    <row r="449">
      <c r="A449" s="14">
        <f t="shared" si="1"/>
        <v>45963</v>
      </c>
      <c r="B449" s="15" t="s">
        <v>170</v>
      </c>
      <c r="C449" s="15" t="s">
        <v>30</v>
      </c>
      <c r="D449" s="15" t="s">
        <v>1010</v>
      </c>
      <c r="E449" s="16">
        <v>4.363180708E9</v>
      </c>
      <c r="F449" s="15">
        <v>4.180303895E9</v>
      </c>
      <c r="G449" s="15" t="s">
        <v>43</v>
      </c>
      <c r="H449" s="15" t="s">
        <v>1011</v>
      </c>
      <c r="I449" s="15" t="s">
        <v>1011</v>
      </c>
      <c r="J449" s="16">
        <v>59000.0</v>
      </c>
      <c r="K449" s="16">
        <v>1.0</v>
      </c>
      <c r="L449" s="17">
        <v>45963.89157407408</v>
      </c>
      <c r="M449" s="17">
        <v>45965.847974537035</v>
      </c>
      <c r="N449" s="17">
        <v>45974.0</v>
      </c>
      <c r="O449" s="18"/>
      <c r="P449" s="18"/>
      <c r="Q449" s="18"/>
    </row>
    <row r="450">
      <c r="A450" s="14">
        <f t="shared" si="1"/>
        <v>45963</v>
      </c>
      <c r="B450" s="15" t="s">
        <v>47</v>
      </c>
      <c r="C450" s="15" t="s">
        <v>30</v>
      </c>
      <c r="D450" s="15" t="s">
        <v>1012</v>
      </c>
      <c r="E450" s="16">
        <v>4.363179675E9</v>
      </c>
      <c r="F450" s="15">
        <v>4.180303895E9</v>
      </c>
      <c r="G450" s="15" t="s">
        <v>43</v>
      </c>
      <c r="H450" s="15" t="s">
        <v>957</v>
      </c>
      <c r="I450" s="15" t="s">
        <v>957</v>
      </c>
      <c r="J450" s="16">
        <v>118000.0</v>
      </c>
      <c r="K450" s="16">
        <v>2.0</v>
      </c>
      <c r="L450" s="17">
        <v>45963.89048611111</v>
      </c>
      <c r="M450" s="20"/>
      <c r="N450" s="20"/>
      <c r="O450" s="18"/>
      <c r="P450" s="18"/>
      <c r="Q450" s="18"/>
    </row>
    <row r="451">
      <c r="A451" s="14">
        <f t="shared" si="1"/>
        <v>45963</v>
      </c>
      <c r="B451" s="15" t="s">
        <v>170</v>
      </c>
      <c r="C451" s="15" t="s">
        <v>30</v>
      </c>
      <c r="D451" s="15" t="s">
        <v>1013</v>
      </c>
      <c r="E451" s="16">
        <v>4.363172888E9</v>
      </c>
      <c r="F451" s="15">
        <v>4.544699629E9</v>
      </c>
      <c r="G451" s="15" t="s">
        <v>212</v>
      </c>
      <c r="H451" s="15" t="s">
        <v>1014</v>
      </c>
      <c r="I451" s="15" t="s">
        <v>1014</v>
      </c>
      <c r="J451" s="16">
        <v>145000.0</v>
      </c>
      <c r="K451" s="16">
        <v>1.0</v>
      </c>
      <c r="L451" s="17">
        <v>45963.88383101852</v>
      </c>
      <c r="M451" s="17">
        <v>45965.85487268519</v>
      </c>
      <c r="N451" s="17">
        <v>45974.0</v>
      </c>
      <c r="O451" s="18"/>
      <c r="P451" s="18"/>
      <c r="Q451" s="18"/>
    </row>
    <row r="452">
      <c r="A452" s="14">
        <f t="shared" si="1"/>
        <v>45963</v>
      </c>
      <c r="B452" s="15" t="s">
        <v>170</v>
      </c>
      <c r="C452" s="15" t="s">
        <v>30</v>
      </c>
      <c r="D452" s="15" t="s">
        <v>1015</v>
      </c>
      <c r="E452" s="16">
        <v>4.363151751E9</v>
      </c>
      <c r="F452" s="15">
        <v>4.180303895E9</v>
      </c>
      <c r="G452" s="15" t="s">
        <v>43</v>
      </c>
      <c r="H452" s="15" t="s">
        <v>1016</v>
      </c>
      <c r="I452" s="15" t="s">
        <v>1016</v>
      </c>
      <c r="J452" s="16">
        <v>118000.0</v>
      </c>
      <c r="K452" s="16">
        <v>2.0</v>
      </c>
      <c r="L452" s="17">
        <v>45963.862280092595</v>
      </c>
      <c r="M452" s="17">
        <v>45967.375752314816</v>
      </c>
      <c r="N452" s="17">
        <v>45971.0</v>
      </c>
      <c r="O452" s="18"/>
      <c r="P452" s="18"/>
      <c r="Q452" s="18"/>
    </row>
    <row r="453">
      <c r="A453" s="14">
        <f t="shared" si="1"/>
        <v>45963</v>
      </c>
      <c r="B453" s="15" t="s">
        <v>170</v>
      </c>
      <c r="C453" s="15" t="s">
        <v>30</v>
      </c>
      <c r="D453" s="15" t="s">
        <v>1017</v>
      </c>
      <c r="E453" s="16">
        <v>4.363096749E9</v>
      </c>
      <c r="F453" s="15">
        <v>4.180303895E9</v>
      </c>
      <c r="G453" s="15" t="s">
        <v>43</v>
      </c>
      <c r="H453" s="15" t="s">
        <v>1018</v>
      </c>
      <c r="I453" s="15" t="s">
        <v>1019</v>
      </c>
      <c r="J453" s="16">
        <v>59000.0</v>
      </c>
      <c r="K453" s="16">
        <v>1.0</v>
      </c>
      <c r="L453" s="17">
        <v>45963.7984375</v>
      </c>
      <c r="M453" s="17">
        <v>45965.68168981482</v>
      </c>
      <c r="N453" s="17">
        <v>45974.0</v>
      </c>
      <c r="O453" s="18"/>
      <c r="P453" s="18"/>
      <c r="Q453" s="18"/>
    </row>
    <row r="454">
      <c r="A454" s="14">
        <f t="shared" si="1"/>
        <v>45963</v>
      </c>
      <c r="B454" s="15" t="s">
        <v>170</v>
      </c>
      <c r="C454" s="15" t="s">
        <v>30</v>
      </c>
      <c r="D454" s="15" t="s">
        <v>1020</v>
      </c>
      <c r="E454" s="16">
        <v>4.363077917E9</v>
      </c>
      <c r="F454" s="15">
        <v>4.180303895E9</v>
      </c>
      <c r="G454" s="15" t="s">
        <v>43</v>
      </c>
      <c r="H454" s="15" t="s">
        <v>1021</v>
      </c>
      <c r="I454" s="15" t="s">
        <v>1022</v>
      </c>
      <c r="J454" s="16">
        <v>59000.0</v>
      </c>
      <c r="K454" s="16">
        <v>1.0</v>
      </c>
      <c r="L454" s="17">
        <v>45963.77043981481</v>
      </c>
      <c r="M454" s="17">
        <v>45966.62583333333</v>
      </c>
      <c r="N454" s="17">
        <v>45975.0</v>
      </c>
      <c r="O454" s="18"/>
      <c r="P454" s="18"/>
      <c r="Q454" s="18"/>
    </row>
    <row r="455">
      <c r="A455" s="14">
        <f t="shared" si="1"/>
        <v>45963</v>
      </c>
      <c r="B455" s="15" t="s">
        <v>47</v>
      </c>
      <c r="C455" s="15" t="s">
        <v>30</v>
      </c>
      <c r="D455" s="15" t="s">
        <v>1023</v>
      </c>
      <c r="E455" s="16">
        <v>4.363032547E9</v>
      </c>
      <c r="F455" s="15">
        <v>4.544615334E9</v>
      </c>
      <c r="G455" s="15" t="s">
        <v>469</v>
      </c>
      <c r="H455" s="15" t="s">
        <v>1024</v>
      </c>
      <c r="I455" s="15" t="s">
        <v>1025</v>
      </c>
      <c r="J455" s="16">
        <v>65000.0</v>
      </c>
      <c r="K455" s="16">
        <v>1.0</v>
      </c>
      <c r="L455" s="17">
        <v>45963.70085648148</v>
      </c>
      <c r="M455" s="20"/>
      <c r="N455" s="20"/>
      <c r="O455" s="18"/>
      <c r="P455" s="18"/>
      <c r="Q455" s="18"/>
    </row>
    <row r="456">
      <c r="A456" s="14">
        <f t="shared" si="1"/>
        <v>45963</v>
      </c>
      <c r="B456" s="15" t="s">
        <v>47</v>
      </c>
      <c r="C456" s="15" t="s">
        <v>30</v>
      </c>
      <c r="D456" s="15" t="s">
        <v>1026</v>
      </c>
      <c r="E456" s="16">
        <v>4.36301524E9</v>
      </c>
      <c r="F456" s="15">
        <v>4.546798282E9</v>
      </c>
      <c r="G456" s="15" t="s">
        <v>135</v>
      </c>
      <c r="H456" s="15" t="s">
        <v>1027</v>
      </c>
      <c r="I456" s="15" t="s">
        <v>1027</v>
      </c>
      <c r="J456" s="16">
        <v>109000.0</v>
      </c>
      <c r="K456" s="16">
        <v>1.0</v>
      </c>
      <c r="L456" s="17">
        <v>45963.67438657407</v>
      </c>
      <c r="M456" s="18"/>
      <c r="N456" s="18"/>
      <c r="O456" s="18"/>
      <c r="P456" s="18"/>
      <c r="Q456" s="18"/>
    </row>
    <row r="457">
      <c r="A457" s="14">
        <f t="shared" si="1"/>
        <v>45963</v>
      </c>
      <c r="B457" s="15" t="s">
        <v>170</v>
      </c>
      <c r="C457" s="15" t="s">
        <v>30</v>
      </c>
      <c r="D457" s="15" t="s">
        <v>1028</v>
      </c>
      <c r="E457" s="16">
        <v>4.362946972E9</v>
      </c>
      <c r="F457" s="15">
        <v>4.180303895E9</v>
      </c>
      <c r="G457" s="15" t="s">
        <v>43</v>
      </c>
      <c r="H457" s="15" t="s">
        <v>1029</v>
      </c>
      <c r="I457" s="15" t="s">
        <v>1029</v>
      </c>
      <c r="J457" s="16">
        <v>59000.0</v>
      </c>
      <c r="K457" s="16">
        <v>1.0</v>
      </c>
      <c r="L457" s="17">
        <v>45963.5675462963</v>
      </c>
      <c r="M457" s="17">
        <v>45966.68855324074</v>
      </c>
      <c r="N457" s="17">
        <v>45967.0</v>
      </c>
      <c r="O457" s="18"/>
      <c r="P457" s="18"/>
      <c r="Q457" s="18"/>
    </row>
    <row r="458">
      <c r="A458" s="14">
        <f t="shared" si="1"/>
        <v>45963</v>
      </c>
      <c r="B458" s="15" t="s">
        <v>170</v>
      </c>
      <c r="C458" s="15" t="s">
        <v>30</v>
      </c>
      <c r="D458" s="15" t="s">
        <v>1030</v>
      </c>
      <c r="E458" s="16">
        <v>4.362932217E9</v>
      </c>
      <c r="F458" s="15">
        <v>4.547685725E9</v>
      </c>
      <c r="G458" s="15" t="s">
        <v>236</v>
      </c>
      <c r="H458" s="15" t="s">
        <v>1031</v>
      </c>
      <c r="I458" s="15" t="s">
        <v>1032</v>
      </c>
      <c r="J458" s="16">
        <v>119000.0</v>
      </c>
      <c r="K458" s="16">
        <v>1.0</v>
      </c>
      <c r="L458" s="17">
        <v>45963.544699074075</v>
      </c>
      <c r="M458" s="17">
        <v>45966.86881944445</v>
      </c>
      <c r="N458" s="17">
        <v>45975.0</v>
      </c>
      <c r="O458" s="18"/>
      <c r="P458" s="18"/>
      <c r="Q458" s="18"/>
    </row>
    <row r="459">
      <c r="A459" s="14">
        <f t="shared" si="1"/>
        <v>693961</v>
      </c>
      <c r="B459" s="15" t="s">
        <v>47</v>
      </c>
      <c r="C459" s="15" t="s">
        <v>30</v>
      </c>
      <c r="D459" s="15" t="s">
        <v>1030</v>
      </c>
      <c r="E459" s="16">
        <v>4.362930813E9</v>
      </c>
      <c r="F459" s="15">
        <v>4.547685725E9</v>
      </c>
      <c r="G459" s="15" t="s">
        <v>236</v>
      </c>
      <c r="H459" s="15" t="s">
        <v>1031</v>
      </c>
      <c r="I459" s="15" t="s">
        <v>1032</v>
      </c>
      <c r="J459" s="16">
        <v>119000.0</v>
      </c>
      <c r="K459" s="16">
        <v>1.0</v>
      </c>
      <c r="L459" s="20"/>
      <c r="M459" s="20"/>
      <c r="N459" s="20"/>
      <c r="O459" s="18"/>
      <c r="P459" s="18"/>
      <c r="Q459" s="18"/>
    </row>
    <row r="460">
      <c r="A460" s="14">
        <f t="shared" si="1"/>
        <v>45963</v>
      </c>
      <c r="B460" s="15" t="s">
        <v>170</v>
      </c>
      <c r="C460" s="15" t="s">
        <v>40</v>
      </c>
      <c r="D460" s="15" t="s">
        <v>1033</v>
      </c>
      <c r="E460" s="16">
        <v>2.538064597E9</v>
      </c>
      <c r="F460" s="15" t="s">
        <v>42</v>
      </c>
      <c r="G460" s="15" t="s">
        <v>43</v>
      </c>
      <c r="H460" s="15" t="s">
        <v>1034</v>
      </c>
      <c r="I460" s="15" t="s">
        <v>1034</v>
      </c>
      <c r="J460" s="16">
        <v>59000.0</v>
      </c>
      <c r="K460" s="16">
        <v>1.0</v>
      </c>
      <c r="L460" s="17">
        <v>45963.53194444445</v>
      </c>
      <c r="M460" s="17">
        <v>45966.75269675926</v>
      </c>
      <c r="N460" s="17">
        <v>45966.75277777778</v>
      </c>
      <c r="O460" s="18"/>
      <c r="P460" s="18"/>
      <c r="Q460" s="18"/>
    </row>
    <row r="461">
      <c r="A461" s="14">
        <f t="shared" si="1"/>
        <v>45963</v>
      </c>
      <c r="B461" s="15" t="s">
        <v>170</v>
      </c>
      <c r="C461" s="15" t="s">
        <v>40</v>
      </c>
      <c r="D461" s="15" t="s">
        <v>1035</v>
      </c>
      <c r="E461" s="16">
        <v>2.538060946E9</v>
      </c>
      <c r="F461" s="15" t="s">
        <v>42</v>
      </c>
      <c r="G461" s="15" t="s">
        <v>43</v>
      </c>
      <c r="H461" s="15" t="s">
        <v>1036</v>
      </c>
      <c r="I461" s="15" t="s">
        <v>1037</v>
      </c>
      <c r="J461" s="16">
        <v>59000.0</v>
      </c>
      <c r="K461" s="16">
        <v>1.0</v>
      </c>
      <c r="L461" s="17">
        <v>45963.51111111111</v>
      </c>
      <c r="M461" s="17">
        <v>45965.63684027778</v>
      </c>
      <c r="N461" s="17">
        <v>45966.87430555555</v>
      </c>
      <c r="O461" s="18"/>
      <c r="P461" s="18"/>
      <c r="Q461" s="18"/>
    </row>
    <row r="462">
      <c r="A462" s="14">
        <f t="shared" si="1"/>
        <v>45963</v>
      </c>
      <c r="B462" s="15" t="s">
        <v>170</v>
      </c>
      <c r="C462" s="15" t="s">
        <v>30</v>
      </c>
      <c r="D462" s="15" t="s">
        <v>1038</v>
      </c>
      <c r="E462" s="16">
        <v>4.362909172E9</v>
      </c>
      <c r="F462" s="15">
        <v>4.180303895E9</v>
      </c>
      <c r="G462" s="15" t="s">
        <v>43</v>
      </c>
      <c r="H462" s="15" t="s">
        <v>1039</v>
      </c>
      <c r="I462" s="15" t="s">
        <v>1040</v>
      </c>
      <c r="J462" s="16">
        <v>118000.0</v>
      </c>
      <c r="K462" s="16">
        <v>2.0</v>
      </c>
      <c r="L462" s="17">
        <v>45963.508125</v>
      </c>
      <c r="M462" s="17">
        <v>45965.79954861111</v>
      </c>
      <c r="N462" s="17">
        <v>45974.0</v>
      </c>
      <c r="O462" s="18"/>
      <c r="P462" s="18"/>
      <c r="Q462" s="18"/>
    </row>
    <row r="463">
      <c r="A463" s="14">
        <f t="shared" si="1"/>
        <v>45963</v>
      </c>
      <c r="B463" s="15" t="s">
        <v>170</v>
      </c>
      <c r="C463" s="15" t="s">
        <v>30</v>
      </c>
      <c r="D463" s="15" t="s">
        <v>1041</v>
      </c>
      <c r="E463" s="16">
        <v>4.36289849E9</v>
      </c>
      <c r="F463" s="15">
        <v>2.10684596E9</v>
      </c>
      <c r="G463" s="15" t="s">
        <v>32</v>
      </c>
      <c r="H463" s="15" t="s">
        <v>1042</v>
      </c>
      <c r="I463" s="15" t="s">
        <v>1043</v>
      </c>
      <c r="J463" s="16">
        <v>69800.0</v>
      </c>
      <c r="K463" s="16">
        <v>2.0</v>
      </c>
      <c r="L463" s="17">
        <v>45963.49256944445</v>
      </c>
      <c r="M463" s="17">
        <v>45965.736875</v>
      </c>
      <c r="N463" s="17">
        <v>45974.0</v>
      </c>
      <c r="O463" s="18"/>
      <c r="P463" s="18"/>
      <c r="Q463" s="18"/>
    </row>
    <row r="464">
      <c r="A464" s="14">
        <f t="shared" si="1"/>
        <v>45963</v>
      </c>
      <c r="B464" s="15" t="s">
        <v>170</v>
      </c>
      <c r="C464" s="15" t="s">
        <v>40</v>
      </c>
      <c r="D464" s="15" t="s">
        <v>1044</v>
      </c>
      <c r="E464" s="16">
        <v>2.538057401E9</v>
      </c>
      <c r="F464" s="15" t="s">
        <v>42</v>
      </c>
      <c r="G464" s="15" t="s">
        <v>43</v>
      </c>
      <c r="H464" s="15" t="s">
        <v>1045</v>
      </c>
      <c r="I464" s="15" t="s">
        <v>1045</v>
      </c>
      <c r="J464" s="16">
        <v>59000.0</v>
      </c>
      <c r="K464" s="16">
        <v>1.0</v>
      </c>
      <c r="L464" s="17">
        <v>45963.49236111111</v>
      </c>
      <c r="M464" s="17">
        <v>45966.44704861111</v>
      </c>
      <c r="N464" s="17">
        <v>45974.05625</v>
      </c>
      <c r="O464" s="18"/>
      <c r="P464" s="18"/>
      <c r="Q464" s="18"/>
    </row>
    <row r="465">
      <c r="A465" s="14">
        <f t="shared" si="1"/>
        <v>45963</v>
      </c>
      <c r="B465" s="15" t="s">
        <v>170</v>
      </c>
      <c r="C465" s="15" t="s">
        <v>30</v>
      </c>
      <c r="D465" s="15" t="s">
        <v>1046</v>
      </c>
      <c r="E465" s="16">
        <v>4.362898258E9</v>
      </c>
      <c r="F465" s="15">
        <v>4.180303895E9</v>
      </c>
      <c r="G465" s="15" t="s">
        <v>43</v>
      </c>
      <c r="H465" s="15" t="s">
        <v>1047</v>
      </c>
      <c r="I465" s="15" t="s">
        <v>1047</v>
      </c>
      <c r="J465" s="16">
        <v>59000.0</v>
      </c>
      <c r="K465" s="16">
        <v>1.0</v>
      </c>
      <c r="L465" s="17">
        <v>45963.49228009259</v>
      </c>
      <c r="M465" s="17">
        <v>45965.74275462963</v>
      </c>
      <c r="N465" s="17">
        <v>45966.0</v>
      </c>
      <c r="O465" s="18"/>
      <c r="P465" s="18"/>
      <c r="Q465" s="18"/>
    </row>
    <row r="466">
      <c r="A466" s="14">
        <f t="shared" si="1"/>
        <v>45963</v>
      </c>
      <c r="B466" s="15" t="s">
        <v>290</v>
      </c>
      <c r="C466" s="15" t="s">
        <v>30</v>
      </c>
      <c r="D466" s="15" t="s">
        <v>1048</v>
      </c>
      <c r="E466" s="16">
        <v>4.36289648E9</v>
      </c>
      <c r="F466" s="15">
        <v>4.544699629E9</v>
      </c>
      <c r="G466" s="15" t="s">
        <v>212</v>
      </c>
      <c r="H466" s="15" t="s">
        <v>868</v>
      </c>
      <c r="I466" s="15" t="s">
        <v>868</v>
      </c>
      <c r="J466" s="16">
        <v>145000.0</v>
      </c>
      <c r="K466" s="16">
        <v>1.0</v>
      </c>
      <c r="L466" s="17">
        <v>45963.48974537037</v>
      </c>
      <c r="M466" s="17">
        <v>45965.80626157407</v>
      </c>
      <c r="N466" s="17">
        <v>45966.0</v>
      </c>
      <c r="O466" s="18"/>
      <c r="P466" s="18"/>
      <c r="Q466" s="18"/>
    </row>
    <row r="467">
      <c r="A467" s="14">
        <f t="shared" si="1"/>
        <v>45963</v>
      </c>
      <c r="B467" s="15" t="s">
        <v>170</v>
      </c>
      <c r="C467" s="15" t="s">
        <v>30</v>
      </c>
      <c r="D467" s="15" t="s">
        <v>1049</v>
      </c>
      <c r="E467" s="16">
        <v>4.362845285E9</v>
      </c>
      <c r="F467" s="15">
        <v>4.180303895E9</v>
      </c>
      <c r="G467" s="15" t="s">
        <v>43</v>
      </c>
      <c r="H467" s="15" t="s">
        <v>1050</v>
      </c>
      <c r="I467" s="15" t="s">
        <v>1051</v>
      </c>
      <c r="J467" s="16">
        <v>118000.0</v>
      </c>
      <c r="K467" s="16">
        <v>2.0</v>
      </c>
      <c r="L467" s="17">
        <v>45963.41811342593</v>
      </c>
      <c r="M467" s="17">
        <v>45965.716203703705</v>
      </c>
      <c r="N467" s="17">
        <v>45967.0</v>
      </c>
      <c r="O467" s="18"/>
      <c r="P467" s="18"/>
      <c r="Q467" s="18"/>
    </row>
    <row r="468">
      <c r="A468" s="14">
        <f t="shared" si="1"/>
        <v>45963</v>
      </c>
      <c r="B468" s="15" t="s">
        <v>170</v>
      </c>
      <c r="C468" s="15" t="s">
        <v>30</v>
      </c>
      <c r="D468" s="15" t="s">
        <v>1052</v>
      </c>
      <c r="E468" s="16">
        <v>4.362845033E9</v>
      </c>
      <c r="F468" s="15">
        <v>4.180303895E9</v>
      </c>
      <c r="G468" s="15" t="s">
        <v>43</v>
      </c>
      <c r="H468" s="15" t="s">
        <v>1053</v>
      </c>
      <c r="I468" s="15" t="s">
        <v>1053</v>
      </c>
      <c r="J468" s="16">
        <v>59000.0</v>
      </c>
      <c r="K468" s="16">
        <v>1.0</v>
      </c>
      <c r="L468" s="17">
        <v>45963.417766203704</v>
      </c>
      <c r="M468" s="17">
        <v>45965.584178240744</v>
      </c>
      <c r="N468" s="17">
        <v>45974.0</v>
      </c>
      <c r="O468" s="18"/>
      <c r="P468" s="18"/>
      <c r="Q468" s="18"/>
    </row>
    <row r="469">
      <c r="A469" s="14">
        <f t="shared" si="1"/>
        <v>45963</v>
      </c>
      <c r="B469" s="15" t="s">
        <v>170</v>
      </c>
      <c r="C469" s="15" t="s">
        <v>30</v>
      </c>
      <c r="D469" s="15" t="s">
        <v>1054</v>
      </c>
      <c r="E469" s="16">
        <v>4.362829205E9</v>
      </c>
      <c r="F469" s="15">
        <v>4.180303895E9</v>
      </c>
      <c r="G469" s="15" t="s">
        <v>43</v>
      </c>
      <c r="H469" s="15" t="s">
        <v>1055</v>
      </c>
      <c r="I469" s="15" t="s">
        <v>1056</v>
      </c>
      <c r="J469" s="16">
        <v>59000.0</v>
      </c>
      <c r="K469" s="16">
        <v>1.0</v>
      </c>
      <c r="L469" s="17">
        <v>45963.3928125</v>
      </c>
      <c r="M469" s="17">
        <v>45966.88962962963</v>
      </c>
      <c r="N469" s="17">
        <v>45971.0</v>
      </c>
      <c r="O469" s="18"/>
      <c r="P469" s="18"/>
      <c r="Q469" s="18"/>
    </row>
    <row r="470">
      <c r="A470" s="14">
        <f t="shared" si="1"/>
        <v>45963</v>
      </c>
      <c r="B470" s="15" t="s">
        <v>170</v>
      </c>
      <c r="C470" s="15" t="s">
        <v>30</v>
      </c>
      <c r="D470" s="15" t="s">
        <v>1057</v>
      </c>
      <c r="E470" s="16">
        <v>4.362787973E9</v>
      </c>
      <c r="F470" s="15">
        <v>4.113888539E9</v>
      </c>
      <c r="G470" s="15" t="s">
        <v>84</v>
      </c>
      <c r="H470" s="15" t="s">
        <v>1058</v>
      </c>
      <c r="I470" s="15" t="s">
        <v>1058</v>
      </c>
      <c r="J470" s="16">
        <v>14500.0</v>
      </c>
      <c r="K470" s="16">
        <v>1.0</v>
      </c>
      <c r="L470" s="17">
        <v>45963.30136574074</v>
      </c>
      <c r="M470" s="17">
        <v>45966.63960648148</v>
      </c>
      <c r="N470" s="17">
        <v>45972.0</v>
      </c>
      <c r="O470" s="18"/>
      <c r="P470" s="18"/>
      <c r="Q470" s="18"/>
    </row>
    <row r="471">
      <c r="A471" s="14">
        <f t="shared" si="1"/>
        <v>45963</v>
      </c>
      <c r="B471" s="15" t="s">
        <v>170</v>
      </c>
      <c r="C471" s="15" t="s">
        <v>30</v>
      </c>
      <c r="D471" s="15" t="s">
        <v>1059</v>
      </c>
      <c r="E471" s="16">
        <v>4.362775642E9</v>
      </c>
      <c r="F471" s="15">
        <v>4.180306338E9</v>
      </c>
      <c r="G471" s="15" t="s">
        <v>35</v>
      </c>
      <c r="H471" s="15" t="s">
        <v>1060</v>
      </c>
      <c r="I471" s="15" t="s">
        <v>1060</v>
      </c>
      <c r="J471" s="16">
        <v>65000.0</v>
      </c>
      <c r="K471" s="16">
        <v>1.0</v>
      </c>
      <c r="L471" s="17">
        <v>45963.22293981481</v>
      </c>
      <c r="M471" s="17">
        <v>45965.74418981482</v>
      </c>
      <c r="N471" s="17">
        <v>45974.0</v>
      </c>
      <c r="O471" s="18"/>
      <c r="P471" s="18"/>
      <c r="Q471" s="18"/>
    </row>
    <row r="472">
      <c r="A472" s="14">
        <f t="shared" si="1"/>
        <v>45963</v>
      </c>
      <c r="B472" s="15" t="s">
        <v>170</v>
      </c>
      <c r="C472" s="15" t="s">
        <v>30</v>
      </c>
      <c r="D472" s="15" t="s">
        <v>1059</v>
      </c>
      <c r="E472" s="16">
        <v>4.362775643E9</v>
      </c>
      <c r="F472" s="15">
        <v>4.180303895E9</v>
      </c>
      <c r="G472" s="15" t="s">
        <v>43</v>
      </c>
      <c r="H472" s="15" t="s">
        <v>1060</v>
      </c>
      <c r="I472" s="15" t="s">
        <v>1060</v>
      </c>
      <c r="J472" s="16">
        <v>59000.0</v>
      </c>
      <c r="K472" s="16">
        <v>1.0</v>
      </c>
      <c r="L472" s="17">
        <v>45963.22293981481</v>
      </c>
      <c r="M472" s="17">
        <v>45965.74417824074</v>
      </c>
      <c r="N472" s="17">
        <v>45974.0</v>
      </c>
      <c r="O472" s="18"/>
      <c r="P472" s="18"/>
      <c r="Q472" s="18"/>
    </row>
    <row r="473">
      <c r="A473" s="14">
        <f t="shared" si="1"/>
        <v>45963</v>
      </c>
      <c r="B473" s="15" t="s">
        <v>170</v>
      </c>
      <c r="C473" s="15" t="s">
        <v>30</v>
      </c>
      <c r="D473" s="15" t="s">
        <v>1061</v>
      </c>
      <c r="E473" s="16">
        <v>4.362758553E9</v>
      </c>
      <c r="F473" s="15">
        <v>4.180306338E9</v>
      </c>
      <c r="G473" s="15" t="s">
        <v>35</v>
      </c>
      <c r="H473" s="15" t="s">
        <v>1062</v>
      </c>
      <c r="I473" s="15" t="s">
        <v>1062</v>
      </c>
      <c r="J473" s="16">
        <v>65000.0</v>
      </c>
      <c r="K473" s="16">
        <v>1.0</v>
      </c>
      <c r="L473" s="17">
        <v>45963.088854166665</v>
      </c>
      <c r="M473" s="17">
        <v>45965.750972222224</v>
      </c>
      <c r="N473" s="17">
        <v>45974.0</v>
      </c>
      <c r="O473" s="18"/>
      <c r="P473" s="18"/>
      <c r="Q473" s="18"/>
    </row>
    <row r="474">
      <c r="A474" s="14">
        <f t="shared" si="1"/>
        <v>45963</v>
      </c>
      <c r="B474" s="15" t="s">
        <v>47</v>
      </c>
      <c r="C474" s="15" t="s">
        <v>30</v>
      </c>
      <c r="D474" s="15" t="s">
        <v>1063</v>
      </c>
      <c r="E474" s="16">
        <v>4.362756241E9</v>
      </c>
      <c r="F474" s="15">
        <v>4.3961483E9</v>
      </c>
      <c r="G474" s="15" t="s">
        <v>1064</v>
      </c>
      <c r="H474" s="15" t="s">
        <v>1065</v>
      </c>
      <c r="I474" s="15" t="s">
        <v>1065</v>
      </c>
      <c r="J474" s="16">
        <v>29000.0</v>
      </c>
      <c r="K474" s="16">
        <v>1.0</v>
      </c>
      <c r="L474" s="17">
        <v>45963.07928240741</v>
      </c>
      <c r="M474" s="18"/>
      <c r="N474" s="18"/>
      <c r="O474" s="18"/>
      <c r="P474" s="18"/>
      <c r="Q474" s="18"/>
    </row>
    <row r="475">
      <c r="A475" s="14">
        <f t="shared" si="1"/>
        <v>45963</v>
      </c>
      <c r="B475" s="15" t="s">
        <v>290</v>
      </c>
      <c r="C475" s="15" t="s">
        <v>30</v>
      </c>
      <c r="D475" s="15" t="s">
        <v>1066</v>
      </c>
      <c r="E475" s="16">
        <v>4.362746922E9</v>
      </c>
      <c r="F475" s="15">
        <v>4.180303895E9</v>
      </c>
      <c r="G475" s="15" t="s">
        <v>43</v>
      </c>
      <c r="H475" s="15" t="s">
        <v>1067</v>
      </c>
      <c r="I475" s="15" t="s">
        <v>1067</v>
      </c>
      <c r="J475" s="16">
        <v>59000.0</v>
      </c>
      <c r="K475" s="16">
        <v>1.0</v>
      </c>
      <c r="L475" s="17">
        <v>45963.051469907405</v>
      </c>
      <c r="M475" s="17">
        <v>45965.799479166664</v>
      </c>
      <c r="N475" s="18"/>
      <c r="O475" s="18"/>
      <c r="P475" s="18"/>
      <c r="Q475" s="18"/>
    </row>
    <row r="476">
      <c r="A476" s="14">
        <f t="shared" si="1"/>
        <v>45962</v>
      </c>
      <c r="B476" s="15" t="s">
        <v>170</v>
      </c>
      <c r="C476" s="15" t="s">
        <v>30</v>
      </c>
      <c r="D476" s="15" t="s">
        <v>1068</v>
      </c>
      <c r="E476" s="16">
        <v>4.36270319E9</v>
      </c>
      <c r="F476" s="15">
        <v>4.180303895E9</v>
      </c>
      <c r="G476" s="15" t="s">
        <v>43</v>
      </c>
      <c r="H476" s="15" t="s">
        <v>1069</v>
      </c>
      <c r="I476" s="15" t="s">
        <v>1069</v>
      </c>
      <c r="J476" s="16">
        <v>59000.0</v>
      </c>
      <c r="K476" s="16">
        <v>1.0</v>
      </c>
      <c r="L476" s="17">
        <v>45962.979525462964</v>
      </c>
      <c r="M476" s="17">
        <v>45965.90354166667</v>
      </c>
      <c r="N476" s="17">
        <v>45967.0</v>
      </c>
      <c r="O476" s="18"/>
      <c r="P476" s="18"/>
      <c r="Q476" s="18"/>
    </row>
    <row r="477">
      <c r="A477" s="14">
        <f t="shared" si="1"/>
        <v>45962</v>
      </c>
      <c r="B477" s="15" t="s">
        <v>170</v>
      </c>
      <c r="C477" s="15" t="s">
        <v>30</v>
      </c>
      <c r="D477" s="15" t="s">
        <v>1070</v>
      </c>
      <c r="E477" s="16">
        <v>4.362699805E9</v>
      </c>
      <c r="F477" s="15">
        <v>4.180303895E9</v>
      </c>
      <c r="G477" s="15" t="s">
        <v>43</v>
      </c>
      <c r="H477" s="15" t="s">
        <v>1071</v>
      </c>
      <c r="I477" s="15" t="s">
        <v>1071</v>
      </c>
      <c r="J477" s="16">
        <v>118000.0</v>
      </c>
      <c r="K477" s="16">
        <v>2.0</v>
      </c>
      <c r="L477" s="17">
        <v>45962.97540509259</v>
      </c>
      <c r="M477" s="17">
        <v>45966.62583333333</v>
      </c>
      <c r="N477" s="17">
        <v>45975.0</v>
      </c>
      <c r="O477" s="18"/>
      <c r="P477" s="18"/>
      <c r="Q477" s="18"/>
    </row>
    <row r="478">
      <c r="A478" s="14">
        <f t="shared" si="1"/>
        <v>45962</v>
      </c>
      <c r="B478" s="15" t="s">
        <v>170</v>
      </c>
      <c r="C478" s="15" t="s">
        <v>30</v>
      </c>
      <c r="D478" s="15" t="s">
        <v>1072</v>
      </c>
      <c r="E478" s="16">
        <v>4.362696966E9</v>
      </c>
      <c r="F478" s="15">
        <v>2.82227251E9</v>
      </c>
      <c r="G478" s="15" t="s">
        <v>61</v>
      </c>
      <c r="H478" s="15" t="s">
        <v>1073</v>
      </c>
      <c r="I478" s="15" t="s">
        <v>1073</v>
      </c>
      <c r="J478" s="16">
        <v>31500.0</v>
      </c>
      <c r="K478" s="16">
        <v>1.0</v>
      </c>
      <c r="L478" s="17">
        <v>45962.97212962963</v>
      </c>
      <c r="M478" s="17">
        <v>45965.834074074075</v>
      </c>
      <c r="N478" s="17">
        <v>45974.0</v>
      </c>
      <c r="O478" s="18"/>
      <c r="P478" s="18"/>
      <c r="Q478" s="18"/>
    </row>
    <row r="479">
      <c r="A479" s="14">
        <f t="shared" si="1"/>
        <v>45962</v>
      </c>
      <c r="B479" s="15" t="s">
        <v>170</v>
      </c>
      <c r="C479" s="15" t="s">
        <v>30</v>
      </c>
      <c r="D479" s="15" t="s">
        <v>1074</v>
      </c>
      <c r="E479" s="16">
        <v>4.362674302E9</v>
      </c>
      <c r="F479" s="15">
        <v>4.180303895E9</v>
      </c>
      <c r="G479" s="15" t="s">
        <v>43</v>
      </c>
      <c r="H479" s="15" t="s">
        <v>1075</v>
      </c>
      <c r="I479" s="15" t="s">
        <v>1075</v>
      </c>
      <c r="J479" s="16">
        <v>59000.0</v>
      </c>
      <c r="K479" s="16">
        <v>1.0</v>
      </c>
      <c r="L479" s="17">
        <v>45962.94521990741</v>
      </c>
      <c r="M479" s="17">
        <v>45966.76480324074</v>
      </c>
      <c r="N479" s="17">
        <v>45975.0</v>
      </c>
      <c r="O479" s="18"/>
      <c r="P479" s="18"/>
      <c r="Q479" s="18"/>
    </row>
    <row r="480">
      <c r="A480" s="14">
        <f t="shared" si="1"/>
        <v>45962</v>
      </c>
      <c r="B480" s="15" t="s">
        <v>170</v>
      </c>
      <c r="C480" s="15" t="s">
        <v>40</v>
      </c>
      <c r="D480" s="15" t="s">
        <v>1076</v>
      </c>
      <c r="E480" s="16">
        <v>2.537994565E9</v>
      </c>
      <c r="F480" s="15" t="s">
        <v>1077</v>
      </c>
      <c r="G480" s="15" t="s">
        <v>1078</v>
      </c>
      <c r="H480" s="15" t="s">
        <v>1079</v>
      </c>
      <c r="I480" s="15" t="s">
        <v>1080</v>
      </c>
      <c r="J480" s="16">
        <v>17900.0</v>
      </c>
      <c r="K480" s="16">
        <v>1.0</v>
      </c>
      <c r="L480" s="17">
        <v>45962.93680555555</v>
      </c>
      <c r="M480" s="17">
        <v>45965.865277777775</v>
      </c>
      <c r="N480" s="17">
        <v>45973.13402777778</v>
      </c>
      <c r="O480" s="18"/>
      <c r="P480" s="18"/>
    </row>
    <row r="481">
      <c r="A481" s="14">
        <f t="shared" si="1"/>
        <v>45962</v>
      </c>
      <c r="B481" s="15" t="s">
        <v>170</v>
      </c>
      <c r="C481" s="15" t="s">
        <v>40</v>
      </c>
      <c r="D481" s="15" t="s">
        <v>1081</v>
      </c>
      <c r="E481" s="16">
        <v>2.537992217E9</v>
      </c>
      <c r="F481" s="15" t="s">
        <v>468</v>
      </c>
      <c r="G481" s="15" t="s">
        <v>469</v>
      </c>
      <c r="H481" s="15" t="s">
        <v>1082</v>
      </c>
      <c r="I481" s="15" t="s">
        <v>1082</v>
      </c>
      <c r="J481" s="16">
        <v>130000.0</v>
      </c>
      <c r="K481" s="16">
        <v>2.0</v>
      </c>
      <c r="L481" s="17">
        <v>45962.925</v>
      </c>
      <c r="M481" s="17">
        <v>45966.75796296296</v>
      </c>
      <c r="N481" s="17">
        <v>45974.05069444444</v>
      </c>
      <c r="O481" s="18"/>
      <c r="P481" s="18"/>
    </row>
    <row r="482">
      <c r="A482" s="14">
        <f t="shared" si="1"/>
        <v>45962</v>
      </c>
      <c r="B482" s="15" t="s">
        <v>170</v>
      </c>
      <c r="C482" s="15" t="s">
        <v>40</v>
      </c>
      <c r="D482" s="15" t="s">
        <v>1083</v>
      </c>
      <c r="E482" s="16">
        <v>2.537980858E9</v>
      </c>
      <c r="F482" s="15" t="s">
        <v>42</v>
      </c>
      <c r="G482" s="15" t="s">
        <v>43</v>
      </c>
      <c r="H482" s="15" t="s">
        <v>1084</v>
      </c>
      <c r="I482" s="15" t="s">
        <v>1084</v>
      </c>
      <c r="J482" s="16">
        <v>59000.0</v>
      </c>
      <c r="K482" s="16">
        <v>1.0</v>
      </c>
      <c r="L482" s="17">
        <v>45962.87222222222</v>
      </c>
      <c r="M482" s="17">
        <v>45966.71047453704</v>
      </c>
      <c r="N482" s="17">
        <v>45974.05</v>
      </c>
      <c r="O482" s="18"/>
      <c r="P482" s="18"/>
    </row>
    <row r="483">
      <c r="A483" s="14">
        <f t="shared" si="1"/>
        <v>45962</v>
      </c>
      <c r="B483" s="15" t="s">
        <v>170</v>
      </c>
      <c r="C483" s="15" t="s">
        <v>30</v>
      </c>
      <c r="D483" s="15" t="s">
        <v>1085</v>
      </c>
      <c r="E483" s="16">
        <v>4.362609919E9</v>
      </c>
      <c r="F483" s="15">
        <v>4.547685725E9</v>
      </c>
      <c r="G483" s="15" t="s">
        <v>236</v>
      </c>
      <c r="H483" s="15" t="s">
        <v>1086</v>
      </c>
      <c r="I483" s="15" t="s">
        <v>1086</v>
      </c>
      <c r="J483" s="16">
        <v>119000.0</v>
      </c>
      <c r="K483" s="16">
        <v>1.0</v>
      </c>
      <c r="L483" s="17">
        <v>45962.867372685185</v>
      </c>
      <c r="M483" s="17">
        <v>45967.563368055555</v>
      </c>
      <c r="N483" s="17">
        <v>45978.0</v>
      </c>
      <c r="O483" s="18"/>
      <c r="P483" s="18"/>
    </row>
    <row r="484">
      <c r="A484" s="14">
        <f t="shared" si="1"/>
        <v>45962</v>
      </c>
      <c r="B484" s="15" t="s">
        <v>47</v>
      </c>
      <c r="C484" s="15" t="s">
        <v>30</v>
      </c>
      <c r="D484" s="15" t="s">
        <v>1087</v>
      </c>
      <c r="E484" s="16">
        <v>4.362608934E9</v>
      </c>
      <c r="F484" s="15">
        <v>4.547685725E9</v>
      </c>
      <c r="G484" s="15" t="s">
        <v>236</v>
      </c>
      <c r="H484" s="15" t="s">
        <v>1088</v>
      </c>
      <c r="I484" s="15" t="s">
        <v>1088</v>
      </c>
      <c r="J484" s="16">
        <v>119000.0</v>
      </c>
      <c r="K484" s="16">
        <v>1.0</v>
      </c>
      <c r="L484" s="17">
        <v>45962.86603009259</v>
      </c>
      <c r="M484" s="18"/>
      <c r="N484" s="18"/>
      <c r="O484" s="18"/>
      <c r="P484" s="18"/>
    </row>
    <row r="485">
      <c r="A485" s="14">
        <f t="shared" si="1"/>
        <v>45962</v>
      </c>
      <c r="B485" s="15" t="s">
        <v>170</v>
      </c>
      <c r="C485" s="15" t="s">
        <v>30</v>
      </c>
      <c r="D485" s="15" t="s">
        <v>1089</v>
      </c>
      <c r="E485" s="16">
        <v>4.362606383E9</v>
      </c>
      <c r="F485" s="15">
        <v>4.180303895E9</v>
      </c>
      <c r="G485" s="15" t="s">
        <v>43</v>
      </c>
      <c r="H485" s="15" t="s">
        <v>1090</v>
      </c>
      <c r="I485" s="15" t="s">
        <v>1090</v>
      </c>
      <c r="J485" s="16">
        <v>59000.0</v>
      </c>
      <c r="K485" s="16">
        <v>1.0</v>
      </c>
      <c r="L485" s="17">
        <v>45962.862604166665</v>
      </c>
      <c r="M485" s="17">
        <v>45966.632997685185</v>
      </c>
      <c r="N485" s="17">
        <v>45975.0</v>
      </c>
      <c r="O485" s="18"/>
      <c r="P485" s="18"/>
    </row>
    <row r="486">
      <c r="A486" s="14">
        <f t="shared" si="1"/>
        <v>45962</v>
      </c>
      <c r="B486" s="15" t="s">
        <v>170</v>
      </c>
      <c r="C486" s="15" t="s">
        <v>30</v>
      </c>
      <c r="D486" s="15" t="s">
        <v>1091</v>
      </c>
      <c r="E486" s="16">
        <v>4.362605885E9</v>
      </c>
      <c r="F486" s="15">
        <v>4.180303895E9</v>
      </c>
      <c r="G486" s="15" t="s">
        <v>43</v>
      </c>
      <c r="H486" s="15" t="s">
        <v>1092</v>
      </c>
      <c r="I486" s="15" t="s">
        <v>1092</v>
      </c>
      <c r="J486" s="16">
        <v>118000.0</v>
      </c>
      <c r="K486" s="16">
        <v>2.0</v>
      </c>
      <c r="L486" s="17">
        <v>45962.861979166664</v>
      </c>
      <c r="M486" s="17">
        <v>45965.590949074074</v>
      </c>
      <c r="N486" s="17">
        <v>45974.0</v>
      </c>
      <c r="O486" s="18"/>
      <c r="P486" s="18"/>
    </row>
    <row r="487">
      <c r="A487" s="14">
        <f t="shared" si="1"/>
        <v>45962</v>
      </c>
      <c r="B487" s="15" t="s">
        <v>170</v>
      </c>
      <c r="C487" s="15" t="s">
        <v>40</v>
      </c>
      <c r="D487" s="15" t="s">
        <v>1093</v>
      </c>
      <c r="E487" s="16">
        <v>2.537969065E9</v>
      </c>
      <c r="F487" s="15" t="s">
        <v>42</v>
      </c>
      <c r="G487" s="15" t="s">
        <v>43</v>
      </c>
      <c r="H487" s="15" t="s">
        <v>1094</v>
      </c>
      <c r="I487" s="15" t="s">
        <v>626</v>
      </c>
      <c r="J487" s="16">
        <v>59000.0</v>
      </c>
      <c r="K487" s="16">
        <v>1.0</v>
      </c>
      <c r="L487" s="17">
        <v>45962.81458333333</v>
      </c>
      <c r="M487" s="17">
        <v>45965.87837962963</v>
      </c>
      <c r="N487" s="17">
        <v>45973.12777777778</v>
      </c>
      <c r="O487" s="18"/>
      <c r="P487" s="18"/>
    </row>
    <row r="488">
      <c r="A488" s="14">
        <f t="shared" si="1"/>
        <v>45962</v>
      </c>
      <c r="B488" s="15" t="s">
        <v>170</v>
      </c>
      <c r="C488" s="15" t="s">
        <v>30</v>
      </c>
      <c r="D488" s="15" t="s">
        <v>1095</v>
      </c>
      <c r="E488" s="16">
        <v>4.362571748E9</v>
      </c>
      <c r="F488" s="15">
        <v>4.180303895E9</v>
      </c>
      <c r="G488" s="15" t="s">
        <v>43</v>
      </c>
      <c r="H488" s="15" t="s">
        <v>1096</v>
      </c>
      <c r="I488" s="15" t="s">
        <v>1096</v>
      </c>
      <c r="J488" s="16">
        <v>59000.0</v>
      </c>
      <c r="K488" s="16">
        <v>1.0</v>
      </c>
      <c r="L488" s="17">
        <v>45962.81302083333</v>
      </c>
      <c r="M488" s="17">
        <v>45965.72295138889</v>
      </c>
      <c r="N488" s="17">
        <v>45974.0</v>
      </c>
      <c r="O488" s="18"/>
      <c r="P488" s="18"/>
    </row>
    <row r="489">
      <c r="A489" s="14">
        <f t="shared" si="1"/>
        <v>693961</v>
      </c>
      <c r="B489" s="15" t="s">
        <v>47</v>
      </c>
      <c r="C489" s="15" t="s">
        <v>30</v>
      </c>
      <c r="D489" s="15" t="s">
        <v>1095</v>
      </c>
      <c r="E489" s="16">
        <v>4.362562183E9</v>
      </c>
      <c r="F489" s="15">
        <v>4.180303895E9</v>
      </c>
      <c r="G489" s="15" t="s">
        <v>43</v>
      </c>
      <c r="H489" s="15" t="s">
        <v>1096</v>
      </c>
      <c r="I489" s="15" t="s">
        <v>1096</v>
      </c>
      <c r="J489" s="16">
        <v>59000.0</v>
      </c>
      <c r="K489" s="16">
        <v>1.0</v>
      </c>
      <c r="L489" s="18"/>
      <c r="M489" s="18"/>
      <c r="N489" s="18"/>
      <c r="O489" s="18"/>
      <c r="P489" s="18"/>
    </row>
    <row r="490">
      <c r="A490" s="14">
        <f t="shared" si="1"/>
        <v>45962</v>
      </c>
      <c r="B490" s="15" t="s">
        <v>170</v>
      </c>
      <c r="C490" s="15" t="s">
        <v>30</v>
      </c>
      <c r="D490" s="15" t="s">
        <v>1097</v>
      </c>
      <c r="E490" s="16">
        <v>4.362558907E9</v>
      </c>
      <c r="F490" s="15">
        <v>4.544628416E9</v>
      </c>
      <c r="G490" s="15" t="s">
        <v>811</v>
      </c>
      <c r="H490" s="15" t="s">
        <v>1098</v>
      </c>
      <c r="I490" s="15" t="s">
        <v>1098</v>
      </c>
      <c r="J490" s="16">
        <v>69000.0</v>
      </c>
      <c r="K490" s="16">
        <v>1.0</v>
      </c>
      <c r="L490" s="17">
        <v>45962.79247685185</v>
      </c>
      <c r="M490" s="17">
        <v>45966.73013888889</v>
      </c>
      <c r="N490" s="17">
        <v>45975.0</v>
      </c>
      <c r="O490" s="18"/>
      <c r="P490" s="18"/>
    </row>
    <row r="491">
      <c r="A491" s="14">
        <f t="shared" si="1"/>
        <v>45962</v>
      </c>
      <c r="B491" s="15" t="s">
        <v>170</v>
      </c>
      <c r="C491" s="15" t="s">
        <v>30</v>
      </c>
      <c r="D491" s="15" t="s">
        <v>1099</v>
      </c>
      <c r="E491" s="16">
        <v>4.362514811E9</v>
      </c>
      <c r="F491" s="15">
        <v>4.180303895E9</v>
      </c>
      <c r="G491" s="15" t="s">
        <v>43</v>
      </c>
      <c r="H491" s="15" t="s">
        <v>1100</v>
      </c>
      <c r="I491" s="15" t="s">
        <v>1100</v>
      </c>
      <c r="J491" s="16">
        <v>59000.0</v>
      </c>
      <c r="K491" s="16">
        <v>1.0</v>
      </c>
      <c r="L491" s="17">
        <v>45962.71658564815</v>
      </c>
      <c r="M491" s="17">
        <v>45966.72241898148</v>
      </c>
      <c r="N491" s="17">
        <v>45975.0</v>
      </c>
      <c r="O491" s="18"/>
      <c r="P491" s="18"/>
    </row>
    <row r="492">
      <c r="A492" s="14">
        <f t="shared" si="1"/>
        <v>45962</v>
      </c>
      <c r="B492" s="15" t="s">
        <v>170</v>
      </c>
      <c r="C492" s="15" t="s">
        <v>30</v>
      </c>
      <c r="D492" s="15" t="s">
        <v>1101</v>
      </c>
      <c r="E492" s="16">
        <v>4.362514766E9</v>
      </c>
      <c r="F492" s="15">
        <v>4.3961483E9</v>
      </c>
      <c r="G492" s="15" t="s">
        <v>1064</v>
      </c>
      <c r="H492" s="15" t="s">
        <v>1102</v>
      </c>
      <c r="I492" s="15" t="s">
        <v>1102</v>
      </c>
      <c r="J492" s="16">
        <v>29000.0</v>
      </c>
      <c r="K492" s="16">
        <v>1.0</v>
      </c>
      <c r="L492" s="17">
        <v>45962.71655092593</v>
      </c>
      <c r="M492" s="17">
        <v>45965.65355324074</v>
      </c>
      <c r="N492" s="17">
        <v>45971.0</v>
      </c>
      <c r="O492" s="18"/>
      <c r="P492" s="18"/>
    </row>
    <row r="493">
      <c r="A493" s="14">
        <f t="shared" si="1"/>
        <v>45962</v>
      </c>
      <c r="B493" s="15" t="s">
        <v>47</v>
      </c>
      <c r="C493" s="15" t="s">
        <v>30</v>
      </c>
      <c r="D493" s="15" t="s">
        <v>1103</v>
      </c>
      <c r="E493" s="16">
        <v>4.362509528E9</v>
      </c>
      <c r="F493" s="15">
        <v>4.180303895E9</v>
      </c>
      <c r="G493" s="15" t="s">
        <v>43</v>
      </c>
      <c r="H493" s="15" t="s">
        <v>1104</v>
      </c>
      <c r="I493" s="15" t="s">
        <v>1104</v>
      </c>
      <c r="J493" s="16">
        <v>59000.0</v>
      </c>
      <c r="K493" s="16">
        <v>1.0</v>
      </c>
      <c r="L493" s="17">
        <v>45962.70773148148</v>
      </c>
      <c r="M493" s="18"/>
      <c r="N493" s="18"/>
      <c r="O493" s="18"/>
      <c r="P493" s="18"/>
    </row>
    <row r="494">
      <c r="A494" s="14">
        <f t="shared" si="1"/>
        <v>45962</v>
      </c>
      <c r="B494" s="15" t="s">
        <v>170</v>
      </c>
      <c r="C494" s="15" t="s">
        <v>30</v>
      </c>
      <c r="D494" s="15" t="s">
        <v>1105</v>
      </c>
      <c r="E494" s="16">
        <v>4.362409572E9</v>
      </c>
      <c r="F494" s="15">
        <v>4.113890503E9</v>
      </c>
      <c r="G494" s="15" t="s">
        <v>509</v>
      </c>
      <c r="H494" s="15" t="s">
        <v>1106</v>
      </c>
      <c r="I494" s="15" t="s">
        <v>1106</v>
      </c>
      <c r="J494" s="16">
        <v>14500.0</v>
      </c>
      <c r="K494" s="16">
        <v>1.0</v>
      </c>
      <c r="L494" s="17">
        <v>45962.54928240741</v>
      </c>
      <c r="M494" s="17">
        <v>45965.820185185185</v>
      </c>
      <c r="N494" s="17">
        <v>45974.0</v>
      </c>
      <c r="O494" s="18"/>
      <c r="P494" s="18"/>
    </row>
    <row r="495">
      <c r="A495" s="14">
        <f t="shared" si="1"/>
        <v>45962</v>
      </c>
      <c r="B495" s="15" t="s">
        <v>170</v>
      </c>
      <c r="C495" s="15" t="s">
        <v>40</v>
      </c>
      <c r="D495" s="15" t="s">
        <v>1107</v>
      </c>
      <c r="E495" s="16">
        <v>2.537917634E9</v>
      </c>
      <c r="F495" s="15" t="s">
        <v>443</v>
      </c>
      <c r="G495" s="15" t="s">
        <v>236</v>
      </c>
      <c r="H495" s="15" t="s">
        <v>1108</v>
      </c>
      <c r="I495" s="15" t="s">
        <v>1108</v>
      </c>
      <c r="J495" s="16">
        <v>119000.0</v>
      </c>
      <c r="K495" s="16">
        <v>1.0</v>
      </c>
      <c r="L495" s="17">
        <v>45962.53125</v>
      </c>
      <c r="M495" s="17">
        <v>45966.696122685185</v>
      </c>
      <c r="N495" s="17">
        <v>45974.04305555556</v>
      </c>
      <c r="O495" s="18"/>
      <c r="P495" s="18"/>
    </row>
    <row r="496">
      <c r="A496" s="14">
        <f t="shared" si="1"/>
        <v>45962</v>
      </c>
      <c r="B496" s="15" t="s">
        <v>47</v>
      </c>
      <c r="C496" s="15" t="s">
        <v>30</v>
      </c>
      <c r="D496" s="15" t="s">
        <v>1109</v>
      </c>
      <c r="E496" s="16">
        <v>4.362335137E9</v>
      </c>
      <c r="F496" s="15">
        <v>4.113888539E9</v>
      </c>
      <c r="G496" s="15" t="s">
        <v>84</v>
      </c>
      <c r="H496" s="15" t="s">
        <v>1110</v>
      </c>
      <c r="I496" s="15" t="s">
        <v>560</v>
      </c>
      <c r="J496" s="16">
        <v>14500.0</v>
      </c>
      <c r="K496" s="16">
        <v>1.0</v>
      </c>
      <c r="L496" s="17">
        <v>45962.45489583333</v>
      </c>
      <c r="M496" s="18"/>
      <c r="N496" s="18"/>
      <c r="O496" s="18"/>
      <c r="P496" s="18"/>
    </row>
    <row r="497">
      <c r="A497" s="14">
        <f t="shared" si="1"/>
        <v>45962</v>
      </c>
      <c r="B497" s="15" t="s">
        <v>170</v>
      </c>
      <c r="C497" s="15" t="s">
        <v>30</v>
      </c>
      <c r="D497" s="15" t="s">
        <v>1111</v>
      </c>
      <c r="E497" s="16">
        <v>4.362319701E9</v>
      </c>
      <c r="F497" s="15">
        <v>4.180303895E9</v>
      </c>
      <c r="G497" s="15" t="s">
        <v>43</v>
      </c>
      <c r="H497" s="15" t="s">
        <v>1112</v>
      </c>
      <c r="I497" s="15" t="s">
        <v>1112</v>
      </c>
      <c r="J497" s="16">
        <v>59000.0</v>
      </c>
      <c r="K497" s="16">
        <v>1.0</v>
      </c>
      <c r="L497" s="17">
        <v>45962.43934027778</v>
      </c>
      <c r="M497" s="17">
        <v>45965.86200231482</v>
      </c>
      <c r="N497" s="17">
        <v>45971.0</v>
      </c>
      <c r="O497" s="18"/>
      <c r="P497" s="18"/>
    </row>
    <row r="498">
      <c r="A498" s="14">
        <f t="shared" si="1"/>
        <v>45962</v>
      </c>
      <c r="B498" s="15" t="s">
        <v>170</v>
      </c>
      <c r="C498" s="15" t="s">
        <v>30</v>
      </c>
      <c r="D498" s="15" t="s">
        <v>1113</v>
      </c>
      <c r="E498" s="16">
        <v>4.362304838E9</v>
      </c>
      <c r="F498" s="15">
        <v>4.544628416E9</v>
      </c>
      <c r="G498" s="15" t="s">
        <v>811</v>
      </c>
      <c r="H498" s="15" t="s">
        <v>1114</v>
      </c>
      <c r="I498" s="15" t="s">
        <v>1114</v>
      </c>
      <c r="J498" s="16">
        <v>69000.0</v>
      </c>
      <c r="K498" s="16">
        <v>1.0</v>
      </c>
      <c r="L498" s="17">
        <v>45962.42424768519</v>
      </c>
      <c r="M498" s="17">
        <v>45966.61914351852</v>
      </c>
      <c r="N498" s="17">
        <v>45975.0</v>
      </c>
      <c r="O498" s="18"/>
      <c r="P498" s="18"/>
    </row>
    <row r="499">
      <c r="A499" s="14">
        <f t="shared" si="1"/>
        <v>45962</v>
      </c>
      <c r="B499" s="15" t="s">
        <v>170</v>
      </c>
      <c r="C499" s="15" t="s">
        <v>30</v>
      </c>
      <c r="D499" s="15" t="s">
        <v>1115</v>
      </c>
      <c r="E499" s="16">
        <v>4.362288153E9</v>
      </c>
      <c r="F499" s="15">
        <v>4.180303895E9</v>
      </c>
      <c r="G499" s="15" t="s">
        <v>43</v>
      </c>
      <c r="H499" s="15" t="s">
        <v>1116</v>
      </c>
      <c r="I499" s="15" t="s">
        <v>1116</v>
      </c>
      <c r="J499" s="16">
        <v>59000.0</v>
      </c>
      <c r="K499" s="16">
        <v>1.0</v>
      </c>
      <c r="L499" s="17">
        <v>45962.405590277776</v>
      </c>
      <c r="M499" s="17">
        <v>45966.69561342592</v>
      </c>
      <c r="N499" s="17">
        <v>45971.0</v>
      </c>
      <c r="O499" s="18"/>
      <c r="P499" s="18"/>
    </row>
    <row r="500">
      <c r="A500" s="14">
        <f t="shared" si="1"/>
        <v>45962</v>
      </c>
      <c r="B500" s="15" t="s">
        <v>170</v>
      </c>
      <c r="C500" s="15" t="s">
        <v>30</v>
      </c>
      <c r="D500" s="15" t="s">
        <v>1117</v>
      </c>
      <c r="E500" s="16">
        <v>4.362268461E9</v>
      </c>
      <c r="F500" s="15">
        <v>2.702301401E9</v>
      </c>
      <c r="G500" s="15" t="s">
        <v>81</v>
      </c>
      <c r="H500" s="15" t="s">
        <v>1118</v>
      </c>
      <c r="I500" s="15" t="s">
        <v>1118</v>
      </c>
      <c r="J500" s="16">
        <v>29900.0</v>
      </c>
      <c r="K500" s="16">
        <v>1.0</v>
      </c>
      <c r="L500" s="17">
        <v>45962.38386574074</v>
      </c>
      <c r="M500" s="17">
        <v>45965.834074074075</v>
      </c>
      <c r="N500" s="17">
        <v>45974.0</v>
      </c>
      <c r="O500" s="18"/>
      <c r="P500" s="18"/>
    </row>
    <row r="501">
      <c r="A501" s="14">
        <f t="shared" si="1"/>
        <v>45962</v>
      </c>
      <c r="B501" s="15" t="s">
        <v>170</v>
      </c>
      <c r="C501" s="15" t="s">
        <v>30</v>
      </c>
      <c r="D501" s="15" t="s">
        <v>1119</v>
      </c>
      <c r="E501" s="16">
        <v>4.362249669E9</v>
      </c>
      <c r="F501" s="15">
        <v>4.180303895E9</v>
      </c>
      <c r="G501" s="15" t="s">
        <v>43</v>
      </c>
      <c r="H501" s="15" t="s">
        <v>1120</v>
      </c>
      <c r="I501" s="15" t="s">
        <v>1120</v>
      </c>
      <c r="J501" s="16">
        <v>118000.0</v>
      </c>
      <c r="K501" s="16">
        <v>2.0</v>
      </c>
      <c r="L501" s="17">
        <v>45962.36298611111</v>
      </c>
      <c r="M501" s="17">
        <v>45965.86199074074</v>
      </c>
      <c r="N501" s="17">
        <v>45974.0</v>
      </c>
      <c r="O501" s="18"/>
      <c r="P501" s="18"/>
    </row>
    <row r="502">
      <c r="A502" s="14">
        <f t="shared" si="1"/>
        <v>45962</v>
      </c>
      <c r="B502" s="15" t="s">
        <v>47</v>
      </c>
      <c r="C502" s="15" t="s">
        <v>30</v>
      </c>
      <c r="D502" s="15" t="s">
        <v>1121</v>
      </c>
      <c r="E502" s="16">
        <v>4.362237903E9</v>
      </c>
      <c r="F502" s="15">
        <v>4.544628416E9</v>
      </c>
      <c r="G502" s="15" t="s">
        <v>811</v>
      </c>
      <c r="H502" s="15" t="s">
        <v>1065</v>
      </c>
      <c r="I502" s="15" t="s">
        <v>1065</v>
      </c>
      <c r="J502" s="16">
        <v>69000.0</v>
      </c>
      <c r="K502" s="16">
        <v>1.0</v>
      </c>
      <c r="L502" s="17">
        <v>45962.34851851852</v>
      </c>
      <c r="M502" s="18"/>
      <c r="N502" s="18"/>
      <c r="O502" s="18"/>
      <c r="P502" s="18"/>
    </row>
    <row r="503">
      <c r="A503" s="14">
        <f t="shared" si="1"/>
        <v>693961</v>
      </c>
      <c r="B503" s="15" t="s">
        <v>47</v>
      </c>
      <c r="C503" s="15" t="s">
        <v>30</v>
      </c>
      <c r="D503" s="15" t="s">
        <v>1121</v>
      </c>
      <c r="E503" s="16">
        <v>4.362236953E9</v>
      </c>
      <c r="F503" s="15">
        <v>4.544628416E9</v>
      </c>
      <c r="G503" s="15" t="s">
        <v>811</v>
      </c>
      <c r="H503" s="15" t="s">
        <v>1065</v>
      </c>
      <c r="I503" s="15" t="s">
        <v>1065</v>
      </c>
      <c r="J503" s="16">
        <v>69000.0</v>
      </c>
      <c r="K503" s="16">
        <v>1.0</v>
      </c>
      <c r="L503" s="18"/>
      <c r="M503" s="18"/>
      <c r="N503" s="18"/>
      <c r="O503" s="18"/>
      <c r="P503" s="18"/>
    </row>
    <row r="504">
      <c r="A504" s="14">
        <f t="shared" si="1"/>
        <v>45962</v>
      </c>
      <c r="B504" s="15" t="s">
        <v>170</v>
      </c>
      <c r="C504" s="15" t="s">
        <v>30</v>
      </c>
      <c r="D504" s="15" t="s">
        <v>1122</v>
      </c>
      <c r="E504" s="16">
        <v>4.362213323E9</v>
      </c>
      <c r="F504" s="15">
        <v>2.82227251E9</v>
      </c>
      <c r="G504" s="15" t="s">
        <v>61</v>
      </c>
      <c r="H504" s="15" t="s">
        <v>1123</v>
      </c>
      <c r="I504" s="15" t="s">
        <v>1123</v>
      </c>
      <c r="J504" s="16">
        <v>63000.0</v>
      </c>
      <c r="K504" s="16">
        <v>2.0</v>
      </c>
      <c r="L504" s="17">
        <v>45962.30625</v>
      </c>
      <c r="M504" s="17">
        <v>45965.73006944444</v>
      </c>
      <c r="N504" s="17">
        <v>45967.0</v>
      </c>
      <c r="O504" s="18"/>
      <c r="P504" s="18"/>
    </row>
    <row r="505">
      <c r="A505" s="14">
        <f t="shared" si="1"/>
        <v>45962</v>
      </c>
      <c r="B505" s="15" t="s">
        <v>170</v>
      </c>
      <c r="C505" s="15" t="s">
        <v>40</v>
      </c>
      <c r="D505" s="15" t="s">
        <v>1124</v>
      </c>
      <c r="E505" s="16">
        <v>2.537865821E9</v>
      </c>
      <c r="F505" s="15" t="s">
        <v>42</v>
      </c>
      <c r="G505" s="15" t="s">
        <v>43</v>
      </c>
      <c r="H505" s="15" t="s">
        <v>1125</v>
      </c>
      <c r="I505" s="15" t="s">
        <v>1125</v>
      </c>
      <c r="J505" s="16">
        <v>59000.0</v>
      </c>
      <c r="K505" s="16">
        <v>1.0</v>
      </c>
      <c r="L505" s="17">
        <v>45962.3</v>
      </c>
      <c r="M505" s="17">
        <v>45966.48640046296</v>
      </c>
      <c r="N505" s="17">
        <v>45974.035416666666</v>
      </c>
      <c r="O505" s="18"/>
      <c r="P505" s="18"/>
    </row>
    <row r="506">
      <c r="A506" s="14">
        <f t="shared" si="1"/>
        <v>45962</v>
      </c>
      <c r="B506" s="15" t="s">
        <v>170</v>
      </c>
      <c r="C506" s="15" t="s">
        <v>30</v>
      </c>
      <c r="D506" s="15" t="s">
        <v>1126</v>
      </c>
      <c r="E506" s="16">
        <v>4.362148957E9</v>
      </c>
      <c r="F506" s="15">
        <v>4.180303895E9</v>
      </c>
      <c r="G506" s="15" t="s">
        <v>43</v>
      </c>
      <c r="H506" s="15" t="s">
        <v>1127</v>
      </c>
      <c r="I506" s="15" t="s">
        <v>1128</v>
      </c>
      <c r="J506" s="16">
        <v>59000.0</v>
      </c>
      <c r="K506" s="16">
        <v>1.0</v>
      </c>
      <c r="L506" s="17">
        <v>45962.05787037037</v>
      </c>
      <c r="M506" s="17">
        <v>45965.68146990741</v>
      </c>
      <c r="N506" s="17">
        <v>45971.0</v>
      </c>
      <c r="O506" s="18"/>
      <c r="P506" s="18"/>
    </row>
    <row r="507">
      <c r="A507" s="14">
        <f t="shared" si="1"/>
        <v>45962</v>
      </c>
      <c r="B507" s="15" t="s">
        <v>170</v>
      </c>
      <c r="C507" s="15" t="s">
        <v>40</v>
      </c>
      <c r="D507" s="15" t="s">
        <v>1129</v>
      </c>
      <c r="E507" s="16">
        <v>2.537843713E9</v>
      </c>
      <c r="F507" s="15" t="s">
        <v>42</v>
      </c>
      <c r="G507" s="15" t="s">
        <v>43</v>
      </c>
      <c r="H507" s="15" t="s">
        <v>1130</v>
      </c>
      <c r="I507" s="15" t="s">
        <v>1130</v>
      </c>
      <c r="J507" s="16">
        <v>59000.0</v>
      </c>
      <c r="K507" s="16">
        <v>1.0</v>
      </c>
      <c r="L507" s="17">
        <v>45962.038194444445</v>
      </c>
      <c r="M507" s="17">
        <v>45965.675092592595</v>
      </c>
      <c r="N507" s="17">
        <v>45973.084027777775</v>
      </c>
      <c r="O507" s="18"/>
      <c r="P507" s="18"/>
    </row>
    <row r="508">
      <c r="A508" s="14">
        <f t="shared" si="1"/>
        <v>693961</v>
      </c>
    </row>
    <row r="509">
      <c r="A509" s="14">
        <f t="shared" si="1"/>
        <v>693961</v>
      </c>
    </row>
    <row r="510">
      <c r="A510" s="14">
        <f t="shared" si="1"/>
        <v>693961</v>
      </c>
    </row>
    <row r="511">
      <c r="A511" s="14">
        <f t="shared" si="1"/>
        <v>693961</v>
      </c>
    </row>
    <row r="512">
      <c r="A512" s="14">
        <f t="shared" si="1"/>
        <v>693961</v>
      </c>
    </row>
    <row r="513">
      <c r="A513" s="14">
        <f t="shared" si="1"/>
        <v>693961</v>
      </c>
    </row>
    <row r="514">
      <c r="A514" s="14">
        <f t="shared" si="1"/>
        <v>693961</v>
      </c>
    </row>
    <row r="515">
      <c r="A515" s="14">
        <f t="shared" si="1"/>
        <v>693961</v>
      </c>
    </row>
    <row r="516">
      <c r="A516" s="14">
        <f t="shared" si="1"/>
        <v>693961</v>
      </c>
    </row>
    <row r="517">
      <c r="A517" s="14">
        <f t="shared" si="1"/>
        <v>693961</v>
      </c>
    </row>
    <row r="518">
      <c r="A518" s="14">
        <f t="shared" si="1"/>
        <v>693961</v>
      </c>
    </row>
    <row r="519">
      <c r="A519" s="14">
        <f t="shared" si="1"/>
        <v>693961</v>
      </c>
    </row>
    <row r="520">
      <c r="A520" s="14">
        <f t="shared" si="1"/>
        <v>693961</v>
      </c>
    </row>
    <row r="521">
      <c r="A521" s="14">
        <f t="shared" si="1"/>
        <v>693961</v>
      </c>
    </row>
    <row r="522">
      <c r="A522" s="14">
        <f t="shared" si="1"/>
        <v>693961</v>
      </c>
    </row>
    <row r="523">
      <c r="A523" s="14">
        <f t="shared" si="1"/>
        <v>693961</v>
      </c>
    </row>
    <row r="524">
      <c r="A524" s="14">
        <f t="shared" si="1"/>
        <v>693961</v>
      </c>
    </row>
    <row r="525">
      <c r="A525" s="14">
        <f t="shared" si="1"/>
        <v>693961</v>
      </c>
    </row>
    <row r="526">
      <c r="A526" s="14">
        <f t="shared" si="1"/>
        <v>693961</v>
      </c>
    </row>
    <row r="527">
      <c r="A527" s="14">
        <f t="shared" si="1"/>
        <v>693961</v>
      </c>
    </row>
    <row r="528">
      <c r="A528" s="14">
        <f t="shared" si="1"/>
        <v>693961</v>
      </c>
    </row>
    <row r="529">
      <c r="A529" s="14">
        <f t="shared" si="1"/>
        <v>693961</v>
      </c>
    </row>
    <row r="530">
      <c r="A530" s="14">
        <f t="shared" si="1"/>
        <v>693961</v>
      </c>
    </row>
    <row r="531">
      <c r="A531" s="14">
        <f t="shared" si="1"/>
        <v>693961</v>
      </c>
    </row>
    <row r="532">
      <c r="A532" s="14">
        <f t="shared" si="1"/>
        <v>693961</v>
      </c>
    </row>
    <row r="533">
      <c r="A533" s="14">
        <f t="shared" si="1"/>
        <v>693961</v>
      </c>
    </row>
    <row r="534">
      <c r="A534" s="14">
        <f t="shared" si="1"/>
        <v>693961</v>
      </c>
    </row>
    <row r="535">
      <c r="A535" s="14">
        <f t="shared" si="1"/>
        <v>693961</v>
      </c>
    </row>
    <row r="536">
      <c r="A536" s="14">
        <f t="shared" si="1"/>
        <v>693961</v>
      </c>
    </row>
    <row r="537">
      <c r="A537" s="14">
        <f t="shared" si="1"/>
        <v>693961</v>
      </c>
    </row>
    <row r="538">
      <c r="A538" s="14">
        <f t="shared" si="1"/>
        <v>693961</v>
      </c>
    </row>
    <row r="539">
      <c r="A539" s="14">
        <f t="shared" si="1"/>
        <v>693961</v>
      </c>
    </row>
    <row r="540">
      <c r="A540" s="14">
        <f t="shared" si="1"/>
        <v>693961</v>
      </c>
    </row>
    <row r="541">
      <c r="A541" s="14">
        <f t="shared" si="1"/>
        <v>693961</v>
      </c>
    </row>
    <row r="542">
      <c r="A542" s="14">
        <f t="shared" si="1"/>
        <v>693961</v>
      </c>
    </row>
    <row r="543">
      <c r="A543" s="14">
        <f t="shared" si="1"/>
        <v>693961</v>
      </c>
    </row>
    <row r="544">
      <c r="A544" s="14">
        <f t="shared" si="1"/>
        <v>693961</v>
      </c>
    </row>
    <row r="545">
      <c r="A545" s="14">
        <f t="shared" si="1"/>
        <v>693961</v>
      </c>
    </row>
    <row r="546">
      <c r="A546" s="14">
        <f t="shared" si="1"/>
        <v>693961</v>
      </c>
    </row>
    <row r="547">
      <c r="A547" s="14">
        <f t="shared" si="1"/>
        <v>693961</v>
      </c>
    </row>
    <row r="548">
      <c r="A548" s="14">
        <f t="shared" si="1"/>
        <v>693961</v>
      </c>
    </row>
    <row r="549">
      <c r="A549" s="14">
        <f t="shared" si="1"/>
        <v>693961</v>
      </c>
    </row>
    <row r="550">
      <c r="A550" s="14">
        <f t="shared" si="1"/>
        <v>693961</v>
      </c>
    </row>
    <row r="551">
      <c r="A551" s="14">
        <f t="shared" si="1"/>
        <v>693961</v>
      </c>
    </row>
    <row r="552">
      <c r="A552" s="14">
        <f t="shared" si="1"/>
        <v>693961</v>
      </c>
    </row>
    <row r="553">
      <c r="A553" s="14">
        <f t="shared" si="1"/>
        <v>693961</v>
      </c>
    </row>
    <row r="554">
      <c r="A554" s="14">
        <f t="shared" si="1"/>
        <v>693961</v>
      </c>
    </row>
    <row r="555">
      <c r="A555" s="14">
        <f t="shared" si="1"/>
        <v>693961</v>
      </c>
    </row>
    <row r="556">
      <c r="A556" s="14">
        <f t="shared" si="1"/>
        <v>693961</v>
      </c>
    </row>
    <row r="557">
      <c r="A557" s="14">
        <f t="shared" si="1"/>
        <v>693961</v>
      </c>
    </row>
    <row r="558">
      <c r="A558" s="14">
        <f t="shared" si="1"/>
        <v>693961</v>
      </c>
    </row>
    <row r="559">
      <c r="A559" s="14">
        <f t="shared" si="1"/>
        <v>693961</v>
      </c>
    </row>
    <row r="560">
      <c r="A560" s="14">
        <f t="shared" si="1"/>
        <v>693961</v>
      </c>
    </row>
    <row r="561">
      <c r="A561" s="14">
        <f t="shared" si="1"/>
        <v>693961</v>
      </c>
    </row>
    <row r="562">
      <c r="A562" s="14">
        <f t="shared" si="1"/>
        <v>693961</v>
      </c>
    </row>
    <row r="563">
      <c r="A563" s="14">
        <f t="shared" si="1"/>
        <v>693961</v>
      </c>
    </row>
    <row r="564">
      <c r="A564" s="14">
        <f t="shared" si="1"/>
        <v>693961</v>
      </c>
    </row>
    <row r="565">
      <c r="A565" s="14">
        <f t="shared" si="1"/>
        <v>693961</v>
      </c>
    </row>
    <row r="566">
      <c r="A566" s="14">
        <f t="shared" si="1"/>
        <v>693961</v>
      </c>
    </row>
    <row r="567">
      <c r="A567" s="14">
        <f t="shared" si="1"/>
        <v>693961</v>
      </c>
    </row>
    <row r="568">
      <c r="A568" s="14">
        <f t="shared" si="1"/>
        <v>693961</v>
      </c>
    </row>
    <row r="569">
      <c r="A569" s="14">
        <f t="shared" si="1"/>
        <v>693961</v>
      </c>
    </row>
    <row r="570">
      <c r="A570" s="14">
        <f t="shared" si="1"/>
        <v>693961</v>
      </c>
    </row>
    <row r="571">
      <c r="A571" s="14">
        <f t="shared" si="1"/>
        <v>693961</v>
      </c>
    </row>
    <row r="572">
      <c r="A572" s="14">
        <f t="shared" si="1"/>
        <v>693961</v>
      </c>
    </row>
    <row r="573">
      <c r="A573" s="14">
        <f t="shared" si="1"/>
        <v>693961</v>
      </c>
    </row>
    <row r="574">
      <c r="A574" s="14">
        <f t="shared" si="1"/>
        <v>693961</v>
      </c>
    </row>
    <row r="575">
      <c r="A575" s="14">
        <f t="shared" si="1"/>
        <v>693961</v>
      </c>
    </row>
    <row r="576">
      <c r="A576" s="14">
        <f t="shared" si="1"/>
        <v>693961</v>
      </c>
    </row>
    <row r="577">
      <c r="A577" s="14">
        <f t="shared" si="1"/>
        <v>693961</v>
      </c>
    </row>
    <row r="578">
      <c r="A578" s="14">
        <f t="shared" si="1"/>
        <v>693961</v>
      </c>
    </row>
    <row r="579">
      <c r="A579" s="14">
        <f t="shared" si="1"/>
        <v>693961</v>
      </c>
    </row>
    <row r="580">
      <c r="A580" s="14">
        <f t="shared" si="1"/>
        <v>693961</v>
      </c>
    </row>
    <row r="581">
      <c r="A581" s="14">
        <f t="shared" si="1"/>
        <v>693961</v>
      </c>
    </row>
    <row r="582">
      <c r="A582" s="14">
        <f t="shared" si="1"/>
        <v>693961</v>
      </c>
    </row>
    <row r="583">
      <c r="A583" s="14">
        <f t="shared" si="1"/>
        <v>693961</v>
      </c>
    </row>
    <row r="584">
      <c r="A584" s="14">
        <f t="shared" si="1"/>
        <v>693961</v>
      </c>
    </row>
    <row r="585">
      <c r="A585" s="14">
        <f t="shared" si="1"/>
        <v>693961</v>
      </c>
    </row>
    <row r="586">
      <c r="A586" s="14">
        <f t="shared" si="1"/>
        <v>693961</v>
      </c>
    </row>
    <row r="587">
      <c r="A587" s="14">
        <f t="shared" si="1"/>
        <v>693961</v>
      </c>
    </row>
    <row r="588">
      <c r="A588" s="14">
        <f t="shared" si="1"/>
        <v>693961</v>
      </c>
    </row>
    <row r="589">
      <c r="A589" s="14">
        <f t="shared" si="1"/>
        <v>693961</v>
      </c>
    </row>
    <row r="590">
      <c r="A590" s="14">
        <f t="shared" si="1"/>
        <v>693961</v>
      </c>
    </row>
    <row r="591">
      <c r="A591" s="14">
        <f t="shared" si="1"/>
        <v>693961</v>
      </c>
    </row>
    <row r="592">
      <c r="A592" s="14">
        <f t="shared" si="1"/>
        <v>693961</v>
      </c>
    </row>
    <row r="593">
      <c r="A593" s="14">
        <f t="shared" si="1"/>
        <v>693961</v>
      </c>
    </row>
    <row r="594">
      <c r="A594" s="14">
        <f t="shared" si="1"/>
        <v>693961</v>
      </c>
    </row>
    <row r="595">
      <c r="A595" s="14">
        <f t="shared" si="1"/>
        <v>693961</v>
      </c>
    </row>
    <row r="596">
      <c r="A596" s="14">
        <f t="shared" si="1"/>
        <v>693961</v>
      </c>
    </row>
    <row r="597">
      <c r="A597" s="14">
        <f t="shared" si="1"/>
        <v>693961</v>
      </c>
    </row>
    <row r="598">
      <c r="A598" s="14">
        <f t="shared" si="1"/>
        <v>693961</v>
      </c>
    </row>
    <row r="599">
      <c r="A599" s="14">
        <f t="shared" si="1"/>
        <v>693961</v>
      </c>
    </row>
    <row r="600">
      <c r="A600" s="14">
        <f t="shared" si="1"/>
        <v>693961</v>
      </c>
    </row>
    <row r="601">
      <c r="A601" s="14">
        <f t="shared" si="1"/>
        <v>693961</v>
      </c>
    </row>
    <row r="602">
      <c r="A602" s="14">
        <f t="shared" si="1"/>
        <v>693961</v>
      </c>
    </row>
    <row r="603">
      <c r="A603" s="14">
        <f t="shared" si="1"/>
        <v>693961</v>
      </c>
    </row>
    <row r="604">
      <c r="A604" s="14">
        <f t="shared" si="1"/>
        <v>693961</v>
      </c>
    </row>
    <row r="605">
      <c r="A605" s="14">
        <f t="shared" si="1"/>
        <v>693961</v>
      </c>
    </row>
    <row r="606">
      <c r="A606" s="14">
        <f t="shared" si="1"/>
        <v>693961</v>
      </c>
    </row>
    <row r="607">
      <c r="A607" s="14">
        <f t="shared" si="1"/>
        <v>693961</v>
      </c>
    </row>
    <row r="608">
      <c r="A608" s="14">
        <f t="shared" si="1"/>
        <v>693961</v>
      </c>
    </row>
    <row r="609">
      <c r="A609" s="14">
        <f t="shared" si="1"/>
        <v>693961</v>
      </c>
    </row>
    <row r="610">
      <c r="A610" s="14">
        <f t="shared" si="1"/>
        <v>693961</v>
      </c>
    </row>
    <row r="611">
      <c r="A611" s="14">
        <f t="shared" si="1"/>
        <v>693961</v>
      </c>
    </row>
    <row r="612">
      <c r="A612" s="14">
        <f t="shared" si="1"/>
        <v>693961</v>
      </c>
    </row>
    <row r="613">
      <c r="A613" s="14">
        <f t="shared" si="1"/>
        <v>693961</v>
      </c>
    </row>
    <row r="614">
      <c r="A614" s="14">
        <f t="shared" si="1"/>
        <v>693961</v>
      </c>
    </row>
    <row r="615">
      <c r="A615" s="14">
        <f t="shared" si="1"/>
        <v>693961</v>
      </c>
    </row>
    <row r="616">
      <c r="A616" s="14">
        <f t="shared" si="1"/>
        <v>693961</v>
      </c>
    </row>
    <row r="617">
      <c r="A617" s="14">
        <f t="shared" si="1"/>
        <v>693961</v>
      </c>
    </row>
    <row r="618">
      <c r="A618" s="14">
        <f t="shared" si="1"/>
        <v>693961</v>
      </c>
    </row>
    <row r="619">
      <c r="A619" s="14">
        <f t="shared" si="1"/>
        <v>693961</v>
      </c>
    </row>
    <row r="620">
      <c r="A620" s="14">
        <f t="shared" si="1"/>
        <v>693961</v>
      </c>
    </row>
    <row r="621">
      <c r="A621" s="14">
        <f t="shared" si="1"/>
        <v>693961</v>
      </c>
    </row>
    <row r="622">
      <c r="A622" s="14">
        <f t="shared" si="1"/>
        <v>693961</v>
      </c>
    </row>
    <row r="623">
      <c r="A623" s="14">
        <f t="shared" si="1"/>
        <v>693961</v>
      </c>
    </row>
    <row r="624">
      <c r="A624" s="14">
        <f t="shared" si="1"/>
        <v>693961</v>
      </c>
    </row>
    <row r="625">
      <c r="A625" s="14">
        <f t="shared" si="1"/>
        <v>693961</v>
      </c>
    </row>
    <row r="626">
      <c r="A626" s="14">
        <f t="shared" si="1"/>
        <v>693961</v>
      </c>
    </row>
    <row r="627">
      <c r="A627" s="14">
        <f t="shared" si="1"/>
        <v>693961</v>
      </c>
    </row>
    <row r="628">
      <c r="A628" s="14">
        <f t="shared" si="1"/>
        <v>693961</v>
      </c>
    </row>
    <row r="629">
      <c r="A629" s="14">
        <f t="shared" si="1"/>
        <v>693961</v>
      </c>
    </row>
    <row r="630">
      <c r="A630" s="14">
        <f t="shared" si="1"/>
        <v>693961</v>
      </c>
    </row>
    <row r="631">
      <c r="A631" s="14">
        <f t="shared" si="1"/>
        <v>693961</v>
      </c>
    </row>
    <row r="632">
      <c r="A632" s="14">
        <f t="shared" si="1"/>
        <v>693961</v>
      </c>
    </row>
    <row r="633">
      <c r="A633" s="14">
        <f t="shared" si="1"/>
        <v>693961</v>
      </c>
    </row>
    <row r="634">
      <c r="A634" s="14">
        <f t="shared" si="1"/>
        <v>693961</v>
      </c>
    </row>
    <row r="635">
      <c r="A635" s="14">
        <f t="shared" si="1"/>
        <v>693961</v>
      </c>
    </row>
    <row r="636">
      <c r="A636" s="14">
        <f t="shared" si="1"/>
        <v>693961</v>
      </c>
    </row>
    <row r="637">
      <c r="A637" s="14">
        <f t="shared" si="1"/>
        <v>693961</v>
      </c>
    </row>
    <row r="638">
      <c r="A638" s="14">
        <f t="shared" si="1"/>
        <v>693961</v>
      </c>
    </row>
    <row r="639">
      <c r="A639" s="14">
        <f t="shared" si="1"/>
        <v>693961</v>
      </c>
    </row>
    <row r="640">
      <c r="A640" s="14">
        <f t="shared" si="1"/>
        <v>693961</v>
      </c>
    </row>
    <row r="641">
      <c r="A641" s="14">
        <f t="shared" si="1"/>
        <v>693961</v>
      </c>
    </row>
    <row r="642">
      <c r="A642" s="14">
        <f t="shared" si="1"/>
        <v>693961</v>
      </c>
    </row>
    <row r="643">
      <c r="A643" s="14">
        <f t="shared" si="1"/>
        <v>693961</v>
      </c>
    </row>
    <row r="644">
      <c r="A644" s="14">
        <f t="shared" si="1"/>
        <v>693961</v>
      </c>
    </row>
    <row r="645">
      <c r="A645" s="14">
        <f t="shared" si="1"/>
        <v>693961</v>
      </c>
    </row>
    <row r="646">
      <c r="A646" s="14">
        <f t="shared" si="1"/>
        <v>693961</v>
      </c>
    </row>
    <row r="647">
      <c r="A647" s="14">
        <f t="shared" si="1"/>
        <v>693961</v>
      </c>
    </row>
    <row r="648">
      <c r="A648" s="14">
        <f t="shared" si="1"/>
        <v>693961</v>
      </c>
    </row>
    <row r="649">
      <c r="A649" s="14">
        <f t="shared" si="1"/>
        <v>693961</v>
      </c>
    </row>
    <row r="650">
      <c r="A650" s="14">
        <f t="shared" si="1"/>
        <v>693961</v>
      </c>
    </row>
    <row r="651">
      <c r="A651" s="14">
        <f t="shared" si="1"/>
        <v>693961</v>
      </c>
    </row>
    <row r="652">
      <c r="A652" s="14">
        <f t="shared" si="1"/>
        <v>693961</v>
      </c>
    </row>
    <row r="653">
      <c r="A653" s="14">
        <f t="shared" si="1"/>
        <v>693961</v>
      </c>
    </row>
    <row r="654">
      <c r="A654" s="14">
        <f t="shared" si="1"/>
        <v>693961</v>
      </c>
    </row>
    <row r="655">
      <c r="A655" s="14">
        <f t="shared" si="1"/>
        <v>693961</v>
      </c>
    </row>
    <row r="656">
      <c r="A656" s="14">
        <f t="shared" si="1"/>
        <v>693961</v>
      </c>
    </row>
    <row r="657">
      <c r="A657" s="14">
        <f t="shared" si="1"/>
        <v>693961</v>
      </c>
    </row>
    <row r="658">
      <c r="A658" s="14">
        <f t="shared" si="1"/>
        <v>693961</v>
      </c>
    </row>
    <row r="659">
      <c r="A659" s="14">
        <f t="shared" si="1"/>
        <v>693961</v>
      </c>
    </row>
    <row r="660">
      <c r="A660" s="14">
        <f t="shared" si="1"/>
        <v>693961</v>
      </c>
    </row>
    <row r="661">
      <c r="A661" s="14">
        <f t="shared" si="1"/>
        <v>693961</v>
      </c>
    </row>
    <row r="662">
      <c r="A662" s="14">
        <f t="shared" si="1"/>
        <v>693961</v>
      </c>
    </row>
    <row r="663">
      <c r="A663" s="14">
        <f t="shared" si="1"/>
        <v>693961</v>
      </c>
    </row>
    <row r="664">
      <c r="A664" s="14">
        <f t="shared" si="1"/>
        <v>693961</v>
      </c>
    </row>
    <row r="665">
      <c r="A665" s="14">
        <f t="shared" si="1"/>
        <v>693961</v>
      </c>
    </row>
    <row r="666">
      <c r="A666" s="14">
        <f t="shared" si="1"/>
        <v>693961</v>
      </c>
    </row>
    <row r="667">
      <c r="A667" s="14">
        <f t="shared" si="1"/>
        <v>693961</v>
      </c>
    </row>
    <row r="668">
      <c r="A668" s="14">
        <f t="shared" si="1"/>
        <v>693961</v>
      </c>
    </row>
    <row r="669">
      <c r="A669" s="14">
        <f t="shared" si="1"/>
        <v>693961</v>
      </c>
    </row>
    <row r="670">
      <c r="A670" s="14">
        <f t="shared" si="1"/>
        <v>693961</v>
      </c>
    </row>
    <row r="671">
      <c r="A671" s="14">
        <f t="shared" si="1"/>
        <v>693961</v>
      </c>
    </row>
    <row r="672">
      <c r="A672" s="14">
        <f t="shared" si="1"/>
        <v>693961</v>
      </c>
    </row>
    <row r="673">
      <c r="A673" s="14">
        <f t="shared" si="1"/>
        <v>693961</v>
      </c>
    </row>
    <row r="674">
      <c r="A674" s="14">
        <f t="shared" si="1"/>
        <v>693961</v>
      </c>
    </row>
    <row r="675">
      <c r="A675" s="14">
        <f t="shared" si="1"/>
        <v>693961</v>
      </c>
    </row>
    <row r="676">
      <c r="A676" s="14">
        <f t="shared" si="1"/>
        <v>693961</v>
      </c>
    </row>
    <row r="677">
      <c r="A677" s="14">
        <f t="shared" si="1"/>
        <v>693961</v>
      </c>
    </row>
    <row r="678">
      <c r="A678" s="14">
        <f t="shared" si="1"/>
        <v>693961</v>
      </c>
    </row>
    <row r="679">
      <c r="A679" s="14">
        <f t="shared" si="1"/>
        <v>693961</v>
      </c>
    </row>
    <row r="680">
      <c r="A680" s="14">
        <f t="shared" si="1"/>
        <v>693961</v>
      </c>
    </row>
    <row r="681">
      <c r="A681" s="14">
        <f t="shared" si="1"/>
        <v>693961</v>
      </c>
    </row>
    <row r="682">
      <c r="A682" s="14">
        <f t="shared" si="1"/>
        <v>693961</v>
      </c>
    </row>
    <row r="683">
      <c r="A683" s="14">
        <f t="shared" si="1"/>
        <v>693961</v>
      </c>
    </row>
    <row r="684">
      <c r="A684" s="14">
        <f t="shared" si="1"/>
        <v>693961</v>
      </c>
    </row>
    <row r="685">
      <c r="A685" s="14">
        <f t="shared" si="1"/>
        <v>693961</v>
      </c>
    </row>
    <row r="686">
      <c r="A686" s="14">
        <f t="shared" si="1"/>
        <v>693961</v>
      </c>
    </row>
    <row r="687">
      <c r="A687" s="14">
        <f t="shared" si="1"/>
        <v>693961</v>
      </c>
    </row>
    <row r="688">
      <c r="A688" s="14">
        <f t="shared" si="1"/>
        <v>693961</v>
      </c>
    </row>
    <row r="689">
      <c r="A689" s="14">
        <f t="shared" si="1"/>
        <v>693961</v>
      </c>
    </row>
    <row r="690">
      <c r="A690" s="14">
        <f t="shared" si="1"/>
        <v>693961</v>
      </c>
    </row>
    <row r="691">
      <c r="A691" s="14">
        <f t="shared" si="1"/>
        <v>693961</v>
      </c>
    </row>
    <row r="692">
      <c r="A692" s="14">
        <f t="shared" si="1"/>
        <v>693961</v>
      </c>
    </row>
    <row r="693">
      <c r="A693" s="14">
        <f t="shared" si="1"/>
        <v>693961</v>
      </c>
    </row>
    <row r="694">
      <c r="A694" s="14">
        <f t="shared" si="1"/>
        <v>693961</v>
      </c>
    </row>
    <row r="695">
      <c r="A695" s="14">
        <f t="shared" si="1"/>
        <v>693961</v>
      </c>
    </row>
    <row r="696">
      <c r="A696" s="14">
        <f t="shared" si="1"/>
        <v>693961</v>
      </c>
    </row>
    <row r="697">
      <c r="A697" s="14">
        <f t="shared" si="1"/>
        <v>693961</v>
      </c>
    </row>
    <row r="698">
      <c r="A698" s="14">
        <f t="shared" si="1"/>
        <v>693961</v>
      </c>
    </row>
    <row r="699">
      <c r="A699" s="14">
        <f t="shared" si="1"/>
        <v>693961</v>
      </c>
    </row>
    <row r="700">
      <c r="A700" s="14">
        <f t="shared" si="1"/>
        <v>693961</v>
      </c>
    </row>
    <row r="701">
      <c r="A701" s="14">
        <f t="shared" si="1"/>
        <v>693961</v>
      </c>
    </row>
    <row r="702">
      <c r="A702" s="14">
        <f t="shared" si="1"/>
        <v>693961</v>
      </c>
    </row>
    <row r="703">
      <c r="A703" s="14">
        <f t="shared" si="1"/>
        <v>693961</v>
      </c>
    </row>
    <row r="704">
      <c r="A704" s="14">
        <f t="shared" si="1"/>
        <v>693961</v>
      </c>
    </row>
    <row r="705">
      <c r="A705" s="14">
        <f t="shared" si="1"/>
        <v>693961</v>
      </c>
    </row>
    <row r="706">
      <c r="A706" s="14">
        <f t="shared" si="1"/>
        <v>693961</v>
      </c>
    </row>
    <row r="707">
      <c r="A707" s="14">
        <f t="shared" si="1"/>
        <v>693961</v>
      </c>
    </row>
    <row r="708">
      <c r="A708" s="14">
        <f t="shared" si="1"/>
        <v>693961</v>
      </c>
    </row>
    <row r="709">
      <c r="A709" s="14">
        <f t="shared" si="1"/>
        <v>693961</v>
      </c>
    </row>
    <row r="710">
      <c r="A710" s="14">
        <f t="shared" si="1"/>
        <v>693961</v>
      </c>
    </row>
    <row r="711">
      <c r="A711" s="14">
        <f t="shared" si="1"/>
        <v>693961</v>
      </c>
    </row>
    <row r="712">
      <c r="A712" s="14">
        <f t="shared" si="1"/>
        <v>693961</v>
      </c>
    </row>
    <row r="713">
      <c r="A713" s="14">
        <f t="shared" si="1"/>
        <v>693961</v>
      </c>
    </row>
    <row r="714">
      <c r="A714" s="14">
        <f t="shared" si="1"/>
        <v>693961</v>
      </c>
    </row>
    <row r="715">
      <c r="A715" s="14">
        <f t="shared" si="1"/>
        <v>693961</v>
      </c>
    </row>
    <row r="716">
      <c r="A716" s="14">
        <f t="shared" si="1"/>
        <v>693961</v>
      </c>
    </row>
    <row r="717">
      <c r="A717" s="14">
        <f t="shared" si="1"/>
        <v>693961</v>
      </c>
    </row>
    <row r="718">
      <c r="A718" s="14">
        <f t="shared" si="1"/>
        <v>693961</v>
      </c>
    </row>
    <row r="719">
      <c r="A719" s="14">
        <f t="shared" si="1"/>
        <v>693961</v>
      </c>
    </row>
    <row r="720">
      <c r="A720" s="14">
        <f t="shared" si="1"/>
        <v>693961</v>
      </c>
    </row>
    <row r="721">
      <c r="A721" s="14">
        <f t="shared" si="1"/>
        <v>693961</v>
      </c>
    </row>
    <row r="722">
      <c r="A722" s="14">
        <f t="shared" si="1"/>
        <v>693961</v>
      </c>
    </row>
    <row r="723">
      <c r="A723" s="14">
        <f t="shared" si="1"/>
        <v>693961</v>
      </c>
    </row>
    <row r="724">
      <c r="A724" s="14">
        <f t="shared" si="1"/>
        <v>693961</v>
      </c>
    </row>
    <row r="725">
      <c r="A725" s="14">
        <f t="shared" si="1"/>
        <v>693961</v>
      </c>
    </row>
    <row r="726">
      <c r="A726" s="14">
        <f t="shared" si="1"/>
        <v>693961</v>
      </c>
    </row>
    <row r="727">
      <c r="A727" s="14">
        <f t="shared" si="1"/>
        <v>693961</v>
      </c>
    </row>
    <row r="728">
      <c r="A728" s="14">
        <f t="shared" si="1"/>
        <v>693961</v>
      </c>
    </row>
    <row r="729">
      <c r="A729" s="14">
        <f t="shared" si="1"/>
        <v>693961</v>
      </c>
    </row>
    <row r="730">
      <c r="A730" s="14">
        <f t="shared" si="1"/>
        <v>693961</v>
      </c>
    </row>
    <row r="731">
      <c r="A731" s="14">
        <f t="shared" si="1"/>
        <v>693961</v>
      </c>
    </row>
    <row r="732">
      <c r="A732" s="14">
        <f t="shared" si="1"/>
        <v>693961</v>
      </c>
    </row>
    <row r="733">
      <c r="A733" s="14">
        <f t="shared" si="1"/>
        <v>693961</v>
      </c>
    </row>
    <row r="734">
      <c r="A734" s="14">
        <f t="shared" si="1"/>
        <v>693961</v>
      </c>
    </row>
    <row r="735">
      <c r="A735" s="14">
        <f t="shared" si="1"/>
        <v>693961</v>
      </c>
    </row>
    <row r="736">
      <c r="A736" s="14">
        <f t="shared" si="1"/>
        <v>693961</v>
      </c>
    </row>
    <row r="737">
      <c r="A737" s="14">
        <f t="shared" si="1"/>
        <v>693961</v>
      </c>
    </row>
    <row r="738">
      <c r="A738" s="14">
        <f t="shared" si="1"/>
        <v>693961</v>
      </c>
    </row>
    <row r="739">
      <c r="A739" s="14">
        <f t="shared" si="1"/>
        <v>693961</v>
      </c>
    </row>
    <row r="740">
      <c r="A740" s="14">
        <f t="shared" si="1"/>
        <v>693961</v>
      </c>
    </row>
    <row r="741">
      <c r="A741" s="14">
        <f t="shared" si="1"/>
        <v>693961</v>
      </c>
    </row>
    <row r="742">
      <c r="A742" s="14">
        <f t="shared" si="1"/>
        <v>693961</v>
      </c>
    </row>
    <row r="743">
      <c r="A743" s="14">
        <f t="shared" si="1"/>
        <v>693961</v>
      </c>
    </row>
    <row r="744">
      <c r="A744" s="14">
        <f t="shared" si="1"/>
        <v>693961</v>
      </c>
    </row>
    <row r="745">
      <c r="A745" s="14">
        <f t="shared" si="1"/>
        <v>693961</v>
      </c>
    </row>
    <row r="746">
      <c r="A746" s="14">
        <f t="shared" si="1"/>
        <v>693961</v>
      </c>
    </row>
    <row r="747">
      <c r="A747" s="14">
        <f t="shared" si="1"/>
        <v>693961</v>
      </c>
    </row>
    <row r="748">
      <c r="A748" s="14">
        <f t="shared" si="1"/>
        <v>693961</v>
      </c>
    </row>
    <row r="749">
      <c r="A749" s="14">
        <f t="shared" si="1"/>
        <v>693961</v>
      </c>
    </row>
    <row r="750">
      <c r="A750" s="14">
        <f t="shared" si="1"/>
        <v>693961</v>
      </c>
    </row>
    <row r="751">
      <c r="A751" s="14">
        <f t="shared" si="1"/>
        <v>693961</v>
      </c>
    </row>
    <row r="752">
      <c r="A752" s="14">
        <f t="shared" si="1"/>
        <v>693961</v>
      </c>
    </row>
    <row r="753">
      <c r="A753" s="14">
        <f t="shared" si="1"/>
        <v>693961</v>
      </c>
    </row>
    <row r="754">
      <c r="A754" s="14">
        <f t="shared" si="1"/>
        <v>693961</v>
      </c>
    </row>
    <row r="755">
      <c r="A755" s="14">
        <f t="shared" si="1"/>
        <v>693961</v>
      </c>
    </row>
    <row r="756">
      <c r="A756" s="14">
        <f t="shared" si="1"/>
        <v>693961</v>
      </c>
    </row>
    <row r="757">
      <c r="A757" s="14">
        <f t="shared" si="1"/>
        <v>693961</v>
      </c>
    </row>
    <row r="758">
      <c r="A758" s="14">
        <f t="shared" si="1"/>
        <v>693961</v>
      </c>
    </row>
    <row r="759">
      <c r="A759" s="14">
        <f t="shared" si="1"/>
        <v>693961</v>
      </c>
    </row>
    <row r="760">
      <c r="A760" s="14">
        <f t="shared" si="1"/>
        <v>693961</v>
      </c>
    </row>
    <row r="761">
      <c r="A761" s="14">
        <f t="shared" si="1"/>
        <v>693961</v>
      </c>
    </row>
    <row r="762">
      <c r="A762" s="14">
        <f t="shared" si="1"/>
        <v>693961</v>
      </c>
    </row>
    <row r="763">
      <c r="A763" s="14">
        <f t="shared" si="1"/>
        <v>693961</v>
      </c>
    </row>
    <row r="764">
      <c r="A764" s="14">
        <f t="shared" si="1"/>
        <v>693961</v>
      </c>
    </row>
    <row r="765">
      <c r="A765" s="14">
        <f t="shared" si="1"/>
        <v>693961</v>
      </c>
    </row>
    <row r="766">
      <c r="A766" s="14">
        <f t="shared" si="1"/>
        <v>693961</v>
      </c>
    </row>
    <row r="767">
      <c r="A767" s="14">
        <f t="shared" si="1"/>
        <v>693961</v>
      </c>
    </row>
    <row r="768">
      <c r="A768" s="14">
        <f t="shared" si="1"/>
        <v>693961</v>
      </c>
    </row>
    <row r="769">
      <c r="A769" s="14">
        <f t="shared" si="1"/>
        <v>693961</v>
      </c>
    </row>
    <row r="770">
      <c r="A770" s="14">
        <f t="shared" si="1"/>
        <v>693961</v>
      </c>
    </row>
    <row r="771">
      <c r="A771" s="14">
        <f t="shared" si="1"/>
        <v>693961</v>
      </c>
    </row>
    <row r="772">
      <c r="A772" s="14">
        <f t="shared" si="1"/>
        <v>693961</v>
      </c>
    </row>
    <row r="773">
      <c r="A773" s="14">
        <f t="shared" si="1"/>
        <v>693961</v>
      </c>
    </row>
    <row r="774">
      <c r="A774" s="14">
        <f t="shared" si="1"/>
        <v>693961</v>
      </c>
    </row>
    <row r="775">
      <c r="A775" s="14">
        <f t="shared" si="1"/>
        <v>693961</v>
      </c>
    </row>
    <row r="776">
      <c r="A776" s="14">
        <f t="shared" si="1"/>
        <v>693961</v>
      </c>
    </row>
    <row r="777">
      <c r="A777" s="14">
        <f t="shared" si="1"/>
        <v>693961</v>
      </c>
    </row>
    <row r="778">
      <c r="A778" s="14">
        <f t="shared" si="1"/>
        <v>693961</v>
      </c>
    </row>
    <row r="779">
      <c r="A779" s="14">
        <f t="shared" si="1"/>
        <v>693961</v>
      </c>
    </row>
    <row r="780">
      <c r="A780" s="14">
        <f t="shared" si="1"/>
        <v>693961</v>
      </c>
    </row>
    <row r="781">
      <c r="A781" s="14">
        <f t="shared" si="1"/>
        <v>693961</v>
      </c>
    </row>
    <row r="782">
      <c r="A782" s="14">
        <f t="shared" si="1"/>
        <v>693961</v>
      </c>
    </row>
    <row r="783">
      <c r="A783" s="14">
        <f t="shared" si="1"/>
        <v>693961</v>
      </c>
    </row>
    <row r="784">
      <c r="A784" s="14">
        <f t="shared" si="1"/>
        <v>693961</v>
      </c>
    </row>
    <row r="785">
      <c r="A785" s="14">
        <f t="shared" si="1"/>
        <v>693961</v>
      </c>
    </row>
    <row r="786">
      <c r="A786" s="14">
        <f t="shared" si="1"/>
        <v>693961</v>
      </c>
    </row>
    <row r="787">
      <c r="A787" s="14">
        <f t="shared" si="1"/>
        <v>693961</v>
      </c>
    </row>
    <row r="788">
      <c r="A788" s="14">
        <f t="shared" si="1"/>
        <v>693961</v>
      </c>
    </row>
    <row r="789">
      <c r="A789" s="14">
        <f t="shared" si="1"/>
        <v>693961</v>
      </c>
    </row>
    <row r="790">
      <c r="A790" s="14">
        <f t="shared" si="1"/>
        <v>693961</v>
      </c>
    </row>
    <row r="791">
      <c r="A791" s="14">
        <f t="shared" si="1"/>
        <v>693961</v>
      </c>
    </row>
    <row r="792">
      <c r="A792" s="14">
        <f t="shared" si="1"/>
        <v>693961</v>
      </c>
    </row>
    <row r="793">
      <c r="A793" s="14">
        <f t="shared" si="1"/>
        <v>693961</v>
      </c>
    </row>
    <row r="794">
      <c r="A794" s="14">
        <f t="shared" si="1"/>
        <v>693961</v>
      </c>
    </row>
    <row r="795">
      <c r="A795" s="14">
        <f t="shared" si="1"/>
        <v>693961</v>
      </c>
    </row>
    <row r="796">
      <c r="A796" s="14">
        <f t="shared" si="1"/>
        <v>693961</v>
      </c>
    </row>
    <row r="797">
      <c r="A797" s="14">
        <f t="shared" si="1"/>
        <v>693961</v>
      </c>
    </row>
    <row r="798">
      <c r="A798" s="14">
        <f t="shared" si="1"/>
        <v>693961</v>
      </c>
    </row>
    <row r="799">
      <c r="A799" s="14">
        <f t="shared" si="1"/>
        <v>693961</v>
      </c>
    </row>
    <row r="800">
      <c r="A800" s="14">
        <f t="shared" si="1"/>
        <v>693961</v>
      </c>
    </row>
    <row r="801">
      <c r="A801" s="14">
        <f t="shared" si="1"/>
        <v>693961</v>
      </c>
    </row>
    <row r="802">
      <c r="A802" s="14">
        <f t="shared" si="1"/>
        <v>693961</v>
      </c>
    </row>
    <row r="803">
      <c r="A803" s="14">
        <f t="shared" si="1"/>
        <v>693961</v>
      </c>
    </row>
    <row r="804">
      <c r="A804" s="14">
        <f t="shared" si="1"/>
        <v>693961</v>
      </c>
    </row>
    <row r="805">
      <c r="A805" s="14">
        <f t="shared" si="1"/>
        <v>693961</v>
      </c>
    </row>
    <row r="806">
      <c r="A806" s="14">
        <f t="shared" si="1"/>
        <v>693961</v>
      </c>
    </row>
    <row r="807">
      <c r="A807" s="14">
        <f t="shared" si="1"/>
        <v>693961</v>
      </c>
    </row>
    <row r="808">
      <c r="A808" s="14">
        <f t="shared" si="1"/>
        <v>693961</v>
      </c>
    </row>
    <row r="809">
      <c r="A809" s="14">
        <f t="shared" si="1"/>
        <v>693961</v>
      </c>
    </row>
    <row r="810">
      <c r="A810" s="14">
        <f t="shared" si="1"/>
        <v>693961</v>
      </c>
    </row>
    <row r="811">
      <c r="A811" s="14">
        <f t="shared" si="1"/>
        <v>693961</v>
      </c>
    </row>
    <row r="812">
      <c r="A812" s="14">
        <f t="shared" si="1"/>
        <v>693961</v>
      </c>
    </row>
    <row r="813">
      <c r="A813" s="14">
        <f t="shared" si="1"/>
        <v>693961</v>
      </c>
    </row>
    <row r="814">
      <c r="A814" s="14">
        <f t="shared" si="1"/>
        <v>693961</v>
      </c>
    </row>
    <row r="815">
      <c r="A815" s="14">
        <f t="shared" si="1"/>
        <v>693961</v>
      </c>
    </row>
    <row r="816">
      <c r="A816" s="14">
        <f t="shared" si="1"/>
        <v>693961</v>
      </c>
    </row>
    <row r="817">
      <c r="A817" s="14">
        <f t="shared" si="1"/>
        <v>693961</v>
      </c>
    </row>
    <row r="818">
      <c r="A818" s="14">
        <f t="shared" si="1"/>
        <v>693961</v>
      </c>
    </row>
    <row r="819">
      <c r="A819" s="14">
        <f t="shared" si="1"/>
        <v>693961</v>
      </c>
    </row>
    <row r="820">
      <c r="A820" s="14">
        <f t="shared" si="1"/>
        <v>693961</v>
      </c>
    </row>
    <row r="821">
      <c r="A821" s="14">
        <f t="shared" si="1"/>
        <v>693961</v>
      </c>
    </row>
    <row r="822">
      <c r="A822" s="14">
        <f t="shared" si="1"/>
        <v>693961</v>
      </c>
    </row>
    <row r="823">
      <c r="A823" s="14">
        <f t="shared" si="1"/>
        <v>693961</v>
      </c>
    </row>
    <row r="824">
      <c r="A824" s="14">
        <f t="shared" si="1"/>
        <v>693961</v>
      </c>
    </row>
    <row r="825">
      <c r="A825" s="14">
        <f t="shared" si="1"/>
        <v>693961</v>
      </c>
    </row>
    <row r="826">
      <c r="A826" s="14">
        <f t="shared" si="1"/>
        <v>693961</v>
      </c>
    </row>
    <row r="827">
      <c r="A827" s="14">
        <f t="shared" si="1"/>
        <v>693961</v>
      </c>
    </row>
    <row r="828">
      <c r="A828" s="14">
        <f t="shared" si="1"/>
        <v>693961</v>
      </c>
    </row>
    <row r="829">
      <c r="A829" s="14">
        <f t="shared" si="1"/>
        <v>693961</v>
      </c>
    </row>
    <row r="830">
      <c r="A830" s="14">
        <f t="shared" si="1"/>
        <v>693961</v>
      </c>
    </row>
    <row r="831">
      <c r="A831" s="14">
        <f t="shared" si="1"/>
        <v>693961</v>
      </c>
    </row>
    <row r="832">
      <c r="A832" s="14">
        <f t="shared" si="1"/>
        <v>693961</v>
      </c>
    </row>
    <row r="833">
      <c r="A833" s="14">
        <f t="shared" si="1"/>
        <v>693961</v>
      </c>
    </row>
    <row r="834">
      <c r="A834" s="14">
        <f t="shared" si="1"/>
        <v>693961</v>
      </c>
    </row>
    <row r="835">
      <c r="A835" s="14">
        <f t="shared" si="1"/>
        <v>693961</v>
      </c>
    </row>
    <row r="836">
      <c r="A836" s="14">
        <f t="shared" si="1"/>
        <v>693961</v>
      </c>
    </row>
    <row r="837">
      <c r="A837" s="14">
        <f t="shared" si="1"/>
        <v>693961</v>
      </c>
    </row>
    <row r="838">
      <c r="A838" s="14">
        <f t="shared" si="1"/>
        <v>693961</v>
      </c>
    </row>
    <row r="839">
      <c r="A839" s="14">
        <f t="shared" si="1"/>
        <v>693961</v>
      </c>
    </row>
    <row r="840">
      <c r="A840" s="14">
        <f t="shared" si="1"/>
        <v>693961</v>
      </c>
    </row>
    <row r="841">
      <c r="A841" s="14">
        <f t="shared" si="1"/>
        <v>693961</v>
      </c>
    </row>
    <row r="842">
      <c r="A842" s="14">
        <f t="shared" si="1"/>
        <v>693961</v>
      </c>
    </row>
    <row r="843">
      <c r="A843" s="14">
        <f t="shared" si="1"/>
        <v>693961</v>
      </c>
    </row>
    <row r="844">
      <c r="A844" s="14">
        <f t="shared" si="1"/>
        <v>693961</v>
      </c>
    </row>
    <row r="845">
      <c r="A845" s="14">
        <f t="shared" si="1"/>
        <v>693961</v>
      </c>
    </row>
    <row r="846">
      <c r="A846" s="14">
        <f t="shared" si="1"/>
        <v>693961</v>
      </c>
    </row>
    <row r="847">
      <c r="A847" s="14">
        <f t="shared" si="1"/>
        <v>693961</v>
      </c>
    </row>
    <row r="848">
      <c r="A848" s="14">
        <f t="shared" si="1"/>
        <v>693961</v>
      </c>
    </row>
    <row r="849">
      <c r="A849" s="14">
        <f t="shared" si="1"/>
        <v>693961</v>
      </c>
    </row>
    <row r="850">
      <c r="A850" s="14">
        <f t="shared" si="1"/>
        <v>693961</v>
      </c>
    </row>
    <row r="851">
      <c r="A851" s="14">
        <f t="shared" si="1"/>
        <v>693961</v>
      </c>
    </row>
    <row r="852">
      <c r="A852" s="14">
        <f t="shared" si="1"/>
        <v>693961</v>
      </c>
    </row>
    <row r="853">
      <c r="A853" s="14">
        <f t="shared" si="1"/>
        <v>693961</v>
      </c>
    </row>
    <row r="854">
      <c r="A854" s="14">
        <f t="shared" si="1"/>
        <v>693961</v>
      </c>
    </row>
    <row r="855">
      <c r="A855" s="14">
        <f t="shared" si="1"/>
        <v>693961</v>
      </c>
    </row>
    <row r="856">
      <c r="A856" s="14">
        <f t="shared" si="1"/>
        <v>693961</v>
      </c>
    </row>
    <row r="857">
      <c r="A857" s="14">
        <f t="shared" si="1"/>
        <v>693961</v>
      </c>
    </row>
    <row r="858">
      <c r="A858" s="14">
        <f t="shared" si="1"/>
        <v>693961</v>
      </c>
    </row>
    <row r="859">
      <c r="A859" s="14">
        <f t="shared" si="1"/>
        <v>693961</v>
      </c>
    </row>
    <row r="860">
      <c r="A860" s="14">
        <f t="shared" si="1"/>
        <v>693961</v>
      </c>
    </row>
    <row r="861">
      <c r="A861" s="14">
        <f t="shared" si="1"/>
        <v>693961</v>
      </c>
    </row>
    <row r="862">
      <c r="A862" s="14">
        <f t="shared" si="1"/>
        <v>693961</v>
      </c>
    </row>
    <row r="863">
      <c r="A863" s="14">
        <f t="shared" si="1"/>
        <v>693961</v>
      </c>
    </row>
    <row r="864">
      <c r="A864" s="14">
        <f t="shared" si="1"/>
        <v>693961</v>
      </c>
    </row>
    <row r="865">
      <c r="A865" s="14">
        <f t="shared" si="1"/>
        <v>693961</v>
      </c>
    </row>
    <row r="866">
      <c r="A866" s="14">
        <f t="shared" si="1"/>
        <v>693961</v>
      </c>
    </row>
    <row r="867">
      <c r="A867" s="14">
        <f t="shared" si="1"/>
        <v>693961</v>
      </c>
    </row>
    <row r="868">
      <c r="A868" s="14">
        <f t="shared" si="1"/>
        <v>693961</v>
      </c>
    </row>
    <row r="869">
      <c r="A869" s="14">
        <f t="shared" si="1"/>
        <v>693961</v>
      </c>
    </row>
    <row r="870">
      <c r="A870" s="14">
        <f t="shared" si="1"/>
        <v>693961</v>
      </c>
    </row>
    <row r="871">
      <c r="A871" s="14">
        <f t="shared" si="1"/>
        <v>693961</v>
      </c>
    </row>
    <row r="872">
      <c r="A872" s="14">
        <f t="shared" si="1"/>
        <v>693961</v>
      </c>
    </row>
    <row r="873">
      <c r="A873" s="14">
        <f t="shared" si="1"/>
        <v>693961</v>
      </c>
    </row>
    <row r="874">
      <c r="A874" s="14">
        <f t="shared" si="1"/>
        <v>693961</v>
      </c>
    </row>
    <row r="875">
      <c r="A875" s="14">
        <f t="shared" si="1"/>
        <v>693961</v>
      </c>
    </row>
    <row r="876">
      <c r="A876" s="14">
        <f t="shared" si="1"/>
        <v>693961</v>
      </c>
    </row>
    <row r="877">
      <c r="A877" s="14">
        <f t="shared" si="1"/>
        <v>693961</v>
      </c>
    </row>
    <row r="878">
      <c r="A878" s="14">
        <f t="shared" si="1"/>
        <v>693961</v>
      </c>
    </row>
    <row r="879">
      <c r="A879" s="14">
        <f t="shared" si="1"/>
        <v>693961</v>
      </c>
    </row>
    <row r="880">
      <c r="A880" s="14">
        <f t="shared" si="1"/>
        <v>693961</v>
      </c>
    </row>
    <row r="881">
      <c r="A881" s="14">
        <f t="shared" si="1"/>
        <v>693961</v>
      </c>
    </row>
    <row r="882">
      <c r="A882" s="14">
        <f t="shared" si="1"/>
        <v>693961</v>
      </c>
    </row>
    <row r="883">
      <c r="A883" s="14">
        <f t="shared" si="1"/>
        <v>693961</v>
      </c>
    </row>
    <row r="884">
      <c r="A884" s="14">
        <f t="shared" si="1"/>
        <v>693961</v>
      </c>
    </row>
    <row r="885">
      <c r="A885" s="14">
        <f t="shared" si="1"/>
        <v>693961</v>
      </c>
    </row>
    <row r="886">
      <c r="A886" s="14">
        <f t="shared" si="1"/>
        <v>693961</v>
      </c>
    </row>
    <row r="887">
      <c r="A887" s="14">
        <f t="shared" si="1"/>
        <v>693961</v>
      </c>
    </row>
    <row r="888">
      <c r="A888" s="14">
        <f t="shared" si="1"/>
        <v>693961</v>
      </c>
    </row>
    <row r="889">
      <c r="A889" s="14">
        <f t="shared" si="1"/>
        <v>693961</v>
      </c>
    </row>
    <row r="890">
      <c r="A890" s="14">
        <f t="shared" si="1"/>
        <v>693961</v>
      </c>
    </row>
    <row r="891">
      <c r="A891" s="14">
        <f t="shared" si="1"/>
        <v>693961</v>
      </c>
    </row>
    <row r="892">
      <c r="A892" s="14">
        <f t="shared" si="1"/>
        <v>693961</v>
      </c>
    </row>
    <row r="893">
      <c r="A893" s="14">
        <f t="shared" si="1"/>
        <v>693961</v>
      </c>
    </row>
    <row r="894">
      <c r="A894" s="14">
        <f t="shared" si="1"/>
        <v>693961</v>
      </c>
    </row>
    <row r="895">
      <c r="A895" s="14">
        <f t="shared" si="1"/>
        <v>693961</v>
      </c>
    </row>
    <row r="896">
      <c r="A896" s="14">
        <f t="shared" si="1"/>
        <v>693961</v>
      </c>
    </row>
    <row r="897">
      <c r="A897" s="14">
        <f t="shared" si="1"/>
        <v>693961</v>
      </c>
    </row>
    <row r="898">
      <c r="A898" s="14">
        <f t="shared" si="1"/>
        <v>693961</v>
      </c>
    </row>
    <row r="899">
      <c r="A899" s="14">
        <f t="shared" si="1"/>
        <v>693961</v>
      </c>
    </row>
    <row r="900">
      <c r="A900" s="14">
        <f t="shared" si="1"/>
        <v>693961</v>
      </c>
    </row>
    <row r="901">
      <c r="A901" s="14">
        <f t="shared" si="1"/>
        <v>693961</v>
      </c>
    </row>
    <row r="902">
      <c r="A902" s="14">
        <f t="shared" si="1"/>
        <v>693961</v>
      </c>
    </row>
    <row r="903">
      <c r="A903" s="14">
        <f t="shared" si="1"/>
        <v>693961</v>
      </c>
    </row>
    <row r="904">
      <c r="A904" s="14">
        <f t="shared" si="1"/>
        <v>693961</v>
      </c>
    </row>
    <row r="905">
      <c r="A905" s="14">
        <f t="shared" si="1"/>
        <v>693961</v>
      </c>
    </row>
    <row r="906">
      <c r="A906" s="14">
        <f t="shared" si="1"/>
        <v>693961</v>
      </c>
    </row>
    <row r="907">
      <c r="A907" s="14">
        <f t="shared" si="1"/>
        <v>693961</v>
      </c>
    </row>
    <row r="908">
      <c r="A908" s="14">
        <f t="shared" si="1"/>
        <v>693961</v>
      </c>
    </row>
    <row r="909">
      <c r="A909" s="14">
        <f t="shared" si="1"/>
        <v>693961</v>
      </c>
    </row>
    <row r="910">
      <c r="A910" s="14">
        <f t="shared" si="1"/>
        <v>693961</v>
      </c>
    </row>
    <row r="911">
      <c r="A911" s="14">
        <f t="shared" si="1"/>
        <v>693961</v>
      </c>
    </row>
    <row r="912">
      <c r="A912" s="14">
        <f t="shared" si="1"/>
        <v>693961</v>
      </c>
    </row>
    <row r="913">
      <c r="A913" s="14">
        <f t="shared" si="1"/>
        <v>693961</v>
      </c>
    </row>
    <row r="914">
      <c r="A914" s="14">
        <f t="shared" si="1"/>
        <v>693961</v>
      </c>
    </row>
    <row r="915">
      <c r="A915" s="14">
        <f t="shared" si="1"/>
        <v>693961</v>
      </c>
    </row>
    <row r="916">
      <c r="A916" s="14">
        <f t="shared" si="1"/>
        <v>693961</v>
      </c>
    </row>
    <row r="917">
      <c r="A917" s="14">
        <f t="shared" si="1"/>
        <v>693961</v>
      </c>
    </row>
    <row r="918">
      <c r="A918" s="14">
        <f t="shared" si="1"/>
        <v>693961</v>
      </c>
    </row>
    <row r="919">
      <c r="A919" s="14">
        <f t="shared" si="1"/>
        <v>693961</v>
      </c>
    </row>
    <row r="920">
      <c r="A920" s="14">
        <f t="shared" si="1"/>
        <v>693961</v>
      </c>
    </row>
    <row r="921">
      <c r="A921" s="14">
        <f t="shared" si="1"/>
        <v>693961</v>
      </c>
    </row>
    <row r="922">
      <c r="A922" s="14">
        <f t="shared" si="1"/>
        <v>693961</v>
      </c>
    </row>
    <row r="923">
      <c r="A923" s="14">
        <f t="shared" si="1"/>
        <v>693961</v>
      </c>
    </row>
    <row r="924">
      <c r="A924" s="14">
        <f t="shared" si="1"/>
        <v>693961</v>
      </c>
    </row>
    <row r="925">
      <c r="A925" s="14">
        <f t="shared" si="1"/>
        <v>693961</v>
      </c>
    </row>
    <row r="926">
      <c r="A926" s="14">
        <f t="shared" si="1"/>
        <v>693961</v>
      </c>
    </row>
    <row r="927">
      <c r="A927" s="14">
        <f t="shared" si="1"/>
        <v>693961</v>
      </c>
    </row>
    <row r="928">
      <c r="A928" s="14">
        <f t="shared" si="1"/>
        <v>693961</v>
      </c>
    </row>
    <row r="929">
      <c r="A929" s="14">
        <f t="shared" si="1"/>
        <v>693961</v>
      </c>
    </row>
    <row r="930">
      <c r="A930" s="14">
        <f t="shared" si="1"/>
        <v>693961</v>
      </c>
    </row>
    <row r="931">
      <c r="A931" s="14">
        <f t="shared" si="1"/>
        <v>693961</v>
      </c>
    </row>
    <row r="932">
      <c r="A932" s="14">
        <f t="shared" si="1"/>
        <v>693961</v>
      </c>
    </row>
    <row r="933">
      <c r="A933" s="14">
        <f t="shared" si="1"/>
        <v>693961</v>
      </c>
    </row>
    <row r="934">
      <c r="A934" s="14">
        <f t="shared" si="1"/>
        <v>693961</v>
      </c>
    </row>
    <row r="935">
      <c r="A935" s="14">
        <f t="shared" si="1"/>
        <v>693961</v>
      </c>
    </row>
    <row r="936">
      <c r="A936" s="14">
        <f t="shared" si="1"/>
        <v>693961</v>
      </c>
    </row>
    <row r="937">
      <c r="A937" s="14">
        <f t="shared" si="1"/>
        <v>693961</v>
      </c>
    </row>
    <row r="938">
      <c r="A938" s="14">
        <f t="shared" si="1"/>
        <v>693961</v>
      </c>
    </row>
    <row r="939">
      <c r="A939" s="14">
        <f t="shared" si="1"/>
        <v>693961</v>
      </c>
    </row>
    <row r="940">
      <c r="A940" s="14">
        <f t="shared" si="1"/>
        <v>693961</v>
      </c>
    </row>
    <row r="941">
      <c r="A941" s="14">
        <f t="shared" si="1"/>
        <v>693961</v>
      </c>
    </row>
    <row r="942">
      <c r="A942" s="14">
        <f t="shared" si="1"/>
        <v>693961</v>
      </c>
    </row>
    <row r="943">
      <c r="A943" s="14">
        <f t="shared" si="1"/>
        <v>693961</v>
      </c>
    </row>
    <row r="944">
      <c r="A944" s="14">
        <f t="shared" si="1"/>
        <v>693961</v>
      </c>
    </row>
    <row r="945">
      <c r="A945" s="14">
        <f t="shared" si="1"/>
        <v>693961</v>
      </c>
    </row>
    <row r="946">
      <c r="A946" s="14">
        <f t="shared" si="1"/>
        <v>693961</v>
      </c>
    </row>
    <row r="947">
      <c r="A947" s="14">
        <f t="shared" si="1"/>
        <v>693961</v>
      </c>
    </row>
    <row r="948">
      <c r="A948" s="14">
        <f t="shared" si="1"/>
        <v>693961</v>
      </c>
    </row>
    <row r="949">
      <c r="A949" s="14">
        <f t="shared" si="1"/>
        <v>693961</v>
      </c>
    </row>
    <row r="950">
      <c r="A950" s="14">
        <f t="shared" si="1"/>
        <v>693961</v>
      </c>
    </row>
    <row r="951">
      <c r="A951" s="14">
        <f t="shared" si="1"/>
        <v>693961</v>
      </c>
    </row>
    <row r="952">
      <c r="A952" s="14">
        <f t="shared" si="1"/>
        <v>693961</v>
      </c>
    </row>
    <row r="953">
      <c r="A953" s="14">
        <f t="shared" si="1"/>
        <v>693961</v>
      </c>
    </row>
    <row r="954">
      <c r="A954" s="14">
        <f t="shared" si="1"/>
        <v>693961</v>
      </c>
    </row>
    <row r="955">
      <c r="A955" s="14">
        <f t="shared" si="1"/>
        <v>693961</v>
      </c>
    </row>
    <row r="956">
      <c r="A956" s="14">
        <f t="shared" si="1"/>
        <v>693961</v>
      </c>
    </row>
    <row r="957">
      <c r="A957" s="14">
        <f t="shared" si="1"/>
        <v>693961</v>
      </c>
    </row>
    <row r="958">
      <c r="A958" s="14">
        <f t="shared" si="1"/>
        <v>693961</v>
      </c>
    </row>
    <row r="959">
      <c r="A959" s="14">
        <f t="shared" si="1"/>
        <v>693961</v>
      </c>
    </row>
    <row r="960">
      <c r="A960" s="14">
        <f t="shared" si="1"/>
        <v>693961</v>
      </c>
    </row>
    <row r="961">
      <c r="A961" s="14">
        <f t="shared" si="1"/>
        <v>693961</v>
      </c>
    </row>
    <row r="962">
      <c r="A962" s="14">
        <f t="shared" si="1"/>
        <v>693961</v>
      </c>
    </row>
    <row r="963">
      <c r="A963" s="14">
        <f t="shared" si="1"/>
        <v>693961</v>
      </c>
    </row>
    <row r="964">
      <c r="A964" s="14">
        <f t="shared" si="1"/>
        <v>693961</v>
      </c>
    </row>
    <row r="965">
      <c r="A965" s="14">
        <f t="shared" si="1"/>
        <v>693961</v>
      </c>
    </row>
    <row r="966">
      <c r="A966" s="14">
        <f t="shared" si="1"/>
        <v>693961</v>
      </c>
    </row>
    <row r="967">
      <c r="A967" s="14">
        <f t="shared" si="1"/>
        <v>693961</v>
      </c>
    </row>
    <row r="968">
      <c r="A968" s="14">
        <f t="shared" si="1"/>
        <v>693961</v>
      </c>
    </row>
    <row r="969">
      <c r="A969" s="14">
        <f t="shared" si="1"/>
        <v>693961</v>
      </c>
    </row>
    <row r="970">
      <c r="A970" s="14">
        <f t="shared" si="1"/>
        <v>693961</v>
      </c>
    </row>
    <row r="971">
      <c r="A971" s="14">
        <f t="shared" si="1"/>
        <v>693961</v>
      </c>
    </row>
    <row r="972">
      <c r="A972" s="14">
        <f t="shared" si="1"/>
        <v>693961</v>
      </c>
    </row>
    <row r="973">
      <c r="A973" s="14">
        <f t="shared" si="1"/>
        <v>693961</v>
      </c>
    </row>
    <row r="974">
      <c r="A974" s="14">
        <f t="shared" si="1"/>
        <v>693961</v>
      </c>
    </row>
    <row r="975">
      <c r="A975" s="14">
        <f t="shared" si="1"/>
        <v>693961</v>
      </c>
    </row>
    <row r="976">
      <c r="A976" s="14">
        <f t="shared" si="1"/>
        <v>693961</v>
      </c>
    </row>
    <row r="977">
      <c r="A977" s="14">
        <f t="shared" si="1"/>
        <v>693961</v>
      </c>
    </row>
    <row r="978">
      <c r="A978" s="14">
        <f t="shared" si="1"/>
        <v>693961</v>
      </c>
    </row>
    <row r="979">
      <c r="A979" s="14">
        <f t="shared" si="1"/>
        <v>693961</v>
      </c>
    </row>
    <row r="980">
      <c r="A980" s="14">
        <f t="shared" si="1"/>
        <v>693961</v>
      </c>
    </row>
    <row r="981">
      <c r="A981" s="14">
        <f t="shared" si="1"/>
        <v>693961</v>
      </c>
    </row>
    <row r="982">
      <c r="A982" s="14">
        <f t="shared" si="1"/>
        <v>693961</v>
      </c>
    </row>
    <row r="983">
      <c r="A983" s="14">
        <f t="shared" si="1"/>
        <v>693961</v>
      </c>
    </row>
    <row r="984">
      <c r="A984" s="14">
        <f t="shared" si="1"/>
        <v>693961</v>
      </c>
    </row>
    <row r="985">
      <c r="A985" s="14">
        <f t="shared" si="1"/>
        <v>693961</v>
      </c>
    </row>
    <row r="986">
      <c r="A986" s="14">
        <f t="shared" si="1"/>
        <v>693961</v>
      </c>
    </row>
    <row r="987">
      <c r="A987" s="14">
        <f t="shared" si="1"/>
        <v>693961</v>
      </c>
    </row>
    <row r="988">
      <c r="A988" s="14">
        <f t="shared" si="1"/>
        <v>693961</v>
      </c>
    </row>
    <row r="989">
      <c r="A989" s="14">
        <f t="shared" si="1"/>
        <v>693961</v>
      </c>
    </row>
    <row r="990">
      <c r="A990" s="14">
        <f t="shared" si="1"/>
        <v>693961</v>
      </c>
    </row>
    <row r="991">
      <c r="A991" s="14">
        <f t="shared" si="1"/>
        <v>693961</v>
      </c>
    </row>
    <row r="992">
      <c r="A992" s="14">
        <f t="shared" si="1"/>
        <v>693961</v>
      </c>
    </row>
    <row r="993">
      <c r="A993" s="14">
        <f t="shared" si="1"/>
        <v>693961</v>
      </c>
    </row>
    <row r="994">
      <c r="A994" s="14">
        <f t="shared" si="1"/>
        <v>693961</v>
      </c>
    </row>
    <row r="995">
      <c r="A995" s="14">
        <f t="shared" si="1"/>
        <v>693961</v>
      </c>
    </row>
    <row r="996">
      <c r="A996" s="14">
        <f t="shared" si="1"/>
        <v>693961</v>
      </c>
    </row>
    <row r="997">
      <c r="A997" s="14">
        <f t="shared" si="1"/>
        <v>693961</v>
      </c>
    </row>
    <row r="998">
      <c r="A998" s="14">
        <f t="shared" si="1"/>
        <v>693961</v>
      </c>
    </row>
    <row r="999">
      <c r="A999" s="14">
        <f t="shared" si="1"/>
        <v>693961</v>
      </c>
    </row>
    <row r="1000">
      <c r="A1000" s="14">
        <f t="shared" si="1"/>
        <v>693961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1" t="s">
        <v>1</v>
      </c>
      <c r="B2" s="22" t="s">
        <v>1131</v>
      </c>
      <c r="C2" s="22" t="s">
        <v>1132</v>
      </c>
      <c r="D2" s="22" t="s">
        <v>1133</v>
      </c>
      <c r="E2" s="22" t="s">
        <v>1134</v>
      </c>
      <c r="F2" s="22" t="s">
        <v>1135</v>
      </c>
      <c r="G2" s="22" t="s">
        <v>1136</v>
      </c>
      <c r="H2" s="22" t="s">
        <v>1137</v>
      </c>
      <c r="I2" s="22" t="s">
        <v>22</v>
      </c>
      <c r="J2" s="22" t="s">
        <v>1138</v>
      </c>
      <c r="K2" s="23" t="s">
        <v>1139</v>
      </c>
    </row>
    <row r="3">
      <c r="A3" s="24">
        <v>45962.0</v>
      </c>
      <c r="B3" s="25">
        <v>23875.0</v>
      </c>
      <c r="C3" s="25">
        <v>191.0</v>
      </c>
      <c r="D3" s="25">
        <v>0.8</v>
      </c>
      <c r="E3" s="25">
        <v>10.0</v>
      </c>
      <c r="F3" s="25">
        <v>647.0</v>
      </c>
      <c r="G3" s="25">
        <v>123486.0</v>
      </c>
      <c r="H3" s="25">
        <v>16.0</v>
      </c>
      <c r="I3" s="25">
        <v>798400.0</v>
      </c>
      <c r="J3" s="25">
        <v>8.38</v>
      </c>
      <c r="K3" s="25">
        <v>646.55</v>
      </c>
    </row>
    <row r="4">
      <c r="A4" s="24">
        <v>45963.0</v>
      </c>
      <c r="B4" s="25">
        <v>25345.0</v>
      </c>
      <c r="C4" s="25">
        <v>182.0</v>
      </c>
      <c r="D4" s="25">
        <v>0.72</v>
      </c>
      <c r="E4" s="25">
        <v>10.0</v>
      </c>
      <c r="F4" s="25">
        <v>654.0</v>
      </c>
      <c r="G4" s="25">
        <v>118965.0</v>
      </c>
      <c r="H4" s="25">
        <v>21.0</v>
      </c>
      <c r="I4" s="25">
        <v>1153200.0</v>
      </c>
      <c r="J4" s="25">
        <v>11.54</v>
      </c>
      <c r="K4" s="25">
        <v>969.36</v>
      </c>
    </row>
    <row r="5">
      <c r="A5" s="24">
        <v>45964.0</v>
      </c>
      <c r="B5" s="25">
        <v>21864.0</v>
      </c>
      <c r="C5" s="25">
        <v>159.0</v>
      </c>
      <c r="D5" s="25">
        <v>0.73</v>
      </c>
      <c r="E5" s="25">
        <v>12.0</v>
      </c>
      <c r="F5" s="25">
        <v>672.0</v>
      </c>
      <c r="G5" s="25">
        <v>106810.0</v>
      </c>
      <c r="H5" s="25">
        <v>24.0</v>
      </c>
      <c r="I5" s="25">
        <v>1357900.0</v>
      </c>
      <c r="J5" s="25">
        <v>15.09</v>
      </c>
      <c r="K5" s="25">
        <v>1271.32</v>
      </c>
    </row>
    <row r="6">
      <c r="A6" s="24">
        <v>45965.0</v>
      </c>
      <c r="B6" s="25">
        <v>19912.0</v>
      </c>
      <c r="C6" s="25">
        <v>137.0</v>
      </c>
      <c r="D6" s="25">
        <v>0.69</v>
      </c>
      <c r="E6" s="25">
        <v>12.0</v>
      </c>
      <c r="F6" s="25">
        <v>668.0</v>
      </c>
      <c r="G6" s="25">
        <v>91509.0</v>
      </c>
      <c r="H6" s="25">
        <v>11.0</v>
      </c>
      <c r="I6" s="25">
        <v>604500.0</v>
      </c>
      <c r="J6" s="25">
        <v>8.03</v>
      </c>
      <c r="K6" s="25">
        <v>660.59</v>
      </c>
    </row>
    <row r="7">
      <c r="A7" s="24">
        <v>45966.0</v>
      </c>
      <c r="B7" s="25">
        <v>21588.0</v>
      </c>
      <c r="C7" s="25">
        <v>125.0</v>
      </c>
      <c r="D7" s="25">
        <v>0.58</v>
      </c>
      <c r="E7" s="25">
        <v>12.0</v>
      </c>
      <c r="F7" s="25">
        <v>620.0</v>
      </c>
      <c r="G7" s="25">
        <v>77473.0</v>
      </c>
      <c r="H7" s="25">
        <v>11.0</v>
      </c>
      <c r="I7" s="25">
        <v>580800.0</v>
      </c>
      <c r="J7" s="25">
        <v>8.8</v>
      </c>
      <c r="K7" s="25">
        <v>749.68</v>
      </c>
    </row>
    <row r="8">
      <c r="A8" s="24">
        <v>45967.0</v>
      </c>
      <c r="B8" s="25">
        <v>18757.0</v>
      </c>
      <c r="C8" s="25">
        <v>105.0</v>
      </c>
      <c r="D8" s="25">
        <v>0.56</v>
      </c>
      <c r="E8" s="25">
        <v>12.0</v>
      </c>
      <c r="F8" s="25">
        <v>684.0</v>
      </c>
      <c r="G8" s="25">
        <v>71786.0</v>
      </c>
      <c r="H8" s="25">
        <v>14.0</v>
      </c>
      <c r="I8" s="25">
        <v>856900.0</v>
      </c>
      <c r="J8" s="25">
        <v>13.33</v>
      </c>
      <c r="K8" s="25">
        <v>1193.69</v>
      </c>
    </row>
    <row r="9">
      <c r="A9" s="24">
        <v>45968.0</v>
      </c>
      <c r="B9" s="25">
        <v>17753.0</v>
      </c>
      <c r="C9" s="25">
        <v>103.0</v>
      </c>
      <c r="D9" s="25">
        <v>0.58</v>
      </c>
      <c r="E9" s="25">
        <v>11.0</v>
      </c>
      <c r="F9" s="25">
        <v>714.0</v>
      </c>
      <c r="G9" s="25">
        <v>73568.0</v>
      </c>
      <c r="H9" s="25">
        <v>7.0</v>
      </c>
      <c r="I9" s="25">
        <v>374700.0</v>
      </c>
      <c r="J9" s="25">
        <v>6.8</v>
      </c>
      <c r="K9" s="25">
        <v>509.32</v>
      </c>
    </row>
    <row r="10">
      <c r="A10" s="24">
        <v>45969.0</v>
      </c>
      <c r="B10" s="25">
        <v>26900.0</v>
      </c>
      <c r="C10" s="25">
        <v>110.0</v>
      </c>
      <c r="D10" s="25">
        <v>0.41</v>
      </c>
      <c r="E10" s="25">
        <v>9.0</v>
      </c>
      <c r="F10" s="25">
        <v>680.0</v>
      </c>
      <c r="G10" s="25">
        <v>74833.0</v>
      </c>
      <c r="H10" s="25">
        <v>11.0</v>
      </c>
      <c r="I10" s="25">
        <v>769900.0</v>
      </c>
      <c r="J10" s="25">
        <v>10.0</v>
      </c>
      <c r="K10" s="25">
        <v>1028.82</v>
      </c>
    </row>
    <row r="11">
      <c r="A11" s="24">
        <v>45970.0</v>
      </c>
      <c r="B11" s="25">
        <v>30316.0</v>
      </c>
      <c r="C11" s="25">
        <v>161.0</v>
      </c>
      <c r="D11" s="25">
        <v>0.53</v>
      </c>
      <c r="E11" s="25">
        <v>9.0</v>
      </c>
      <c r="F11" s="25">
        <v>638.0</v>
      </c>
      <c r="G11" s="25">
        <v>102740.0</v>
      </c>
      <c r="H11" s="25">
        <v>8.0</v>
      </c>
      <c r="I11" s="25">
        <v>477500.0</v>
      </c>
      <c r="J11" s="25">
        <v>4.97</v>
      </c>
      <c r="K11" s="25">
        <v>464.77</v>
      </c>
    </row>
    <row r="12">
      <c r="A12" s="24">
        <v>45971.0</v>
      </c>
      <c r="B12" s="25">
        <v>23643.0</v>
      </c>
      <c r="C12" s="25">
        <v>137.0</v>
      </c>
      <c r="D12" s="25">
        <v>0.58</v>
      </c>
      <c r="E12" s="25">
        <v>12.0</v>
      </c>
      <c r="F12" s="25">
        <v>617.0</v>
      </c>
      <c r="G12" s="25">
        <v>84469.0</v>
      </c>
      <c r="H12" s="25">
        <v>13.0</v>
      </c>
      <c r="I12" s="25">
        <v>824800.0</v>
      </c>
      <c r="J12" s="25">
        <v>9.49</v>
      </c>
      <c r="K12" s="25">
        <v>976.45</v>
      </c>
    </row>
    <row r="13">
      <c r="A13" s="24">
        <v>45972.0</v>
      </c>
      <c r="B13" s="25">
        <v>27095.0</v>
      </c>
      <c r="C13" s="25">
        <v>148.0</v>
      </c>
      <c r="D13" s="25">
        <v>0.55</v>
      </c>
      <c r="E13" s="25">
        <v>12.0</v>
      </c>
      <c r="F13" s="25">
        <v>642.0</v>
      </c>
      <c r="G13" s="25">
        <v>95051.0</v>
      </c>
      <c r="H13" s="25">
        <v>7.0</v>
      </c>
      <c r="I13" s="25">
        <v>463000.0</v>
      </c>
      <c r="J13" s="25">
        <v>4.73</v>
      </c>
      <c r="K13" s="25">
        <v>487.11</v>
      </c>
    </row>
    <row r="14">
      <c r="A14" s="24">
        <v>45973.0</v>
      </c>
      <c r="B14" s="25">
        <v>20154.0</v>
      </c>
      <c r="C14" s="25">
        <v>71.0</v>
      </c>
      <c r="D14" s="25">
        <v>0.35</v>
      </c>
      <c r="E14" s="25">
        <v>12.0</v>
      </c>
      <c r="F14" s="25">
        <v>688.0</v>
      </c>
      <c r="G14" s="25">
        <v>48818.0</v>
      </c>
      <c r="H14" s="25">
        <v>7.0</v>
      </c>
      <c r="I14" s="25">
        <v>426000.0</v>
      </c>
      <c r="J14" s="25">
        <v>9.86</v>
      </c>
      <c r="K14" s="25">
        <v>872.63</v>
      </c>
    </row>
    <row r="15">
      <c r="A15" s="24">
        <v>45974.0</v>
      </c>
      <c r="B15" s="25">
        <v>15288.0</v>
      </c>
      <c r="C15" s="25">
        <v>86.0</v>
      </c>
      <c r="D15" s="25">
        <v>0.56</v>
      </c>
      <c r="E15" s="25">
        <v>12.0</v>
      </c>
      <c r="F15" s="25">
        <v>602.0</v>
      </c>
      <c r="G15" s="25">
        <v>51777.0</v>
      </c>
      <c r="H15" s="25">
        <v>1.0</v>
      </c>
      <c r="I15" s="25">
        <v>59000.0</v>
      </c>
      <c r="J15" s="25">
        <v>1.16</v>
      </c>
      <c r="K15" s="25">
        <v>113.95</v>
      </c>
    </row>
    <row r="16">
      <c r="A16" s="26">
        <v>45975.0</v>
      </c>
      <c r="B16" s="27">
        <v>21900.0</v>
      </c>
      <c r="C16" s="27">
        <v>70.0</v>
      </c>
      <c r="D16" s="27">
        <v>0.32</v>
      </c>
      <c r="E16" s="27">
        <v>13.0</v>
      </c>
      <c r="F16" s="27">
        <v>715.0</v>
      </c>
      <c r="G16" s="27">
        <v>50050.0</v>
      </c>
      <c r="H16" s="27">
        <v>4.0</v>
      </c>
      <c r="I16" s="27">
        <v>236000.0</v>
      </c>
      <c r="J16" s="27">
        <v>5.71</v>
      </c>
      <c r="K16" s="27">
        <v>471.53</v>
      </c>
    </row>
    <row r="17">
      <c r="A17" s="26">
        <v>45976.0</v>
      </c>
      <c r="B17" s="27">
        <v>46316.0</v>
      </c>
      <c r="C17" s="27">
        <v>88.0</v>
      </c>
      <c r="D17" s="27">
        <v>0.19</v>
      </c>
      <c r="E17" s="27">
        <v>10.0</v>
      </c>
      <c r="F17" s="27">
        <v>623.0</v>
      </c>
      <c r="G17" s="27">
        <v>54857.0</v>
      </c>
      <c r="H17" s="27">
        <v>1.0</v>
      </c>
      <c r="I17" s="27">
        <v>47900.0</v>
      </c>
      <c r="J17" s="27">
        <v>1.14</v>
      </c>
      <c r="K17" s="27">
        <v>87.32</v>
      </c>
    </row>
    <row r="18">
      <c r="A18" s="26">
        <v>45977.0</v>
      </c>
      <c r="B18" s="27">
        <v>51352.0</v>
      </c>
      <c r="C18" s="27">
        <v>108.0</v>
      </c>
      <c r="D18" s="27">
        <v>0.21</v>
      </c>
      <c r="E18" s="27">
        <v>10.0</v>
      </c>
      <c r="F18" s="27">
        <v>659.0</v>
      </c>
      <c r="G18" s="27">
        <v>71192.0</v>
      </c>
      <c r="H18" s="27">
        <v>7.0</v>
      </c>
      <c r="I18" s="27">
        <v>374400.0</v>
      </c>
      <c r="J18" s="27">
        <v>6.48</v>
      </c>
      <c r="K18" s="27">
        <v>525.9</v>
      </c>
    </row>
    <row r="19">
      <c r="A19" s="24">
        <v>45978.0</v>
      </c>
      <c r="B19" s="25">
        <v>35268.0</v>
      </c>
      <c r="C19" s="25">
        <v>94.0</v>
      </c>
      <c r="D19" s="25">
        <v>0.27</v>
      </c>
      <c r="E19" s="25">
        <v>14.0</v>
      </c>
      <c r="F19" s="25">
        <v>696.0</v>
      </c>
      <c r="G19" s="25">
        <v>65439.0</v>
      </c>
      <c r="H19" s="25">
        <v>4.0</v>
      </c>
      <c r="I19" s="25">
        <v>236000.0</v>
      </c>
      <c r="J19" s="25">
        <v>4.26</v>
      </c>
      <c r="K19" s="25">
        <v>360.64</v>
      </c>
    </row>
    <row r="20">
      <c r="A20" s="24">
        <v>45979.0</v>
      </c>
      <c r="B20" s="25">
        <v>37911.0</v>
      </c>
      <c r="C20" s="25">
        <v>108.0</v>
      </c>
      <c r="D20" s="25">
        <v>0.28</v>
      </c>
      <c r="E20" s="25">
        <v>14.0</v>
      </c>
      <c r="F20" s="25">
        <v>663.0</v>
      </c>
      <c r="G20" s="25">
        <v>71599.0</v>
      </c>
      <c r="H20" s="25">
        <v>6.0</v>
      </c>
      <c r="I20" s="25">
        <v>342900.0</v>
      </c>
      <c r="J20" s="25">
        <v>5.56</v>
      </c>
      <c r="K20" s="25">
        <v>478.92</v>
      </c>
    </row>
    <row r="21">
      <c r="A21" s="24">
        <v>45980.0</v>
      </c>
      <c r="B21" s="25">
        <v>41204.0</v>
      </c>
      <c r="C21" s="25">
        <v>104.0</v>
      </c>
      <c r="D21" s="25">
        <v>0.25</v>
      </c>
      <c r="E21" s="25">
        <v>15.0</v>
      </c>
      <c r="F21" s="25">
        <v>549.0</v>
      </c>
      <c r="G21" s="25">
        <v>57101.0</v>
      </c>
      <c r="H21" s="25">
        <v>8.0</v>
      </c>
      <c r="I21" s="25">
        <v>441800.0</v>
      </c>
      <c r="J21" s="25">
        <v>7.69</v>
      </c>
      <c r="K21" s="25">
        <v>773.72</v>
      </c>
    </row>
    <row r="22">
      <c r="A22" s="24">
        <v>45981.0</v>
      </c>
      <c r="B22" s="25">
        <v>49206.0</v>
      </c>
      <c r="C22" s="25">
        <v>81.0</v>
      </c>
      <c r="D22" s="25">
        <v>0.16</v>
      </c>
      <c r="E22" s="25">
        <v>14.0</v>
      </c>
      <c r="F22" s="25">
        <v>679.0</v>
      </c>
      <c r="G22" s="25">
        <v>55011.0</v>
      </c>
      <c r="H22" s="25">
        <v>9.0</v>
      </c>
      <c r="I22" s="25">
        <v>577900.0</v>
      </c>
      <c r="J22" s="25">
        <v>11.11</v>
      </c>
      <c r="K22" s="25">
        <v>1050.52</v>
      </c>
    </row>
    <row r="23">
      <c r="A23" s="24">
        <v>45982.0</v>
      </c>
      <c r="B23" s="25">
        <v>40108.0</v>
      </c>
      <c r="C23" s="25">
        <v>51.0</v>
      </c>
      <c r="D23" s="25">
        <v>0.13</v>
      </c>
      <c r="E23" s="25">
        <v>14.0</v>
      </c>
      <c r="F23" s="25">
        <v>698.0</v>
      </c>
      <c r="G23" s="25">
        <v>35596.0</v>
      </c>
      <c r="H23" s="25">
        <v>0.0</v>
      </c>
      <c r="I23" s="25">
        <v>0.0</v>
      </c>
      <c r="J23" s="25">
        <v>0.0</v>
      </c>
      <c r="K23" s="25">
        <v>0.0</v>
      </c>
    </row>
    <row r="24">
      <c r="A24" s="24">
        <v>45983.0</v>
      </c>
      <c r="B24" s="25">
        <v>50337.0</v>
      </c>
      <c r="C24" s="25">
        <v>77.0</v>
      </c>
      <c r="D24" s="25">
        <v>0.15</v>
      </c>
      <c r="E24" s="25">
        <v>11.0</v>
      </c>
      <c r="F24" s="25">
        <v>669.0</v>
      </c>
      <c r="G24" s="25">
        <v>51491.0</v>
      </c>
      <c r="H24" s="25">
        <v>3.0</v>
      </c>
      <c r="I24" s="25">
        <v>177000.0</v>
      </c>
      <c r="J24" s="25">
        <v>3.9</v>
      </c>
      <c r="K24" s="25">
        <v>343.75</v>
      </c>
    </row>
    <row r="25">
      <c r="A25" s="24">
        <v>45984.0</v>
      </c>
      <c r="B25" s="25">
        <v>49411.0</v>
      </c>
      <c r="C25" s="25">
        <v>96.0</v>
      </c>
      <c r="D25" s="25">
        <v>0.19</v>
      </c>
      <c r="E25" s="25">
        <v>10.0</v>
      </c>
      <c r="F25" s="25">
        <v>634.0</v>
      </c>
      <c r="G25" s="25">
        <v>60863.0</v>
      </c>
      <c r="H25" s="25">
        <v>2.0</v>
      </c>
      <c r="I25" s="25">
        <v>106900.0</v>
      </c>
      <c r="J25" s="25">
        <v>2.08</v>
      </c>
      <c r="K25" s="25">
        <v>175.64</v>
      </c>
    </row>
    <row r="26">
      <c r="A26" s="24">
        <v>45985.0</v>
      </c>
      <c r="B26" s="25">
        <v>36210.0</v>
      </c>
      <c r="C26" s="25">
        <v>66.0</v>
      </c>
      <c r="D26" s="25">
        <v>0.18</v>
      </c>
      <c r="E26" s="25">
        <v>14.0</v>
      </c>
      <c r="F26" s="25">
        <v>633.0</v>
      </c>
      <c r="G26" s="25">
        <v>41756.0</v>
      </c>
      <c r="H26" s="25">
        <v>5.0</v>
      </c>
      <c r="I26" s="25">
        <v>295000.0</v>
      </c>
      <c r="J26" s="25">
        <v>7.58</v>
      </c>
      <c r="K26" s="25">
        <v>706.49</v>
      </c>
    </row>
    <row r="27">
      <c r="A27" s="26">
        <v>45986.0</v>
      </c>
      <c r="B27" s="27">
        <v>41431.0</v>
      </c>
      <c r="C27" s="27">
        <v>79.0</v>
      </c>
      <c r="D27" s="27">
        <v>0.19</v>
      </c>
      <c r="E27" s="27">
        <v>14.0</v>
      </c>
      <c r="F27" s="27">
        <v>640.0</v>
      </c>
      <c r="G27" s="27">
        <v>50534.0</v>
      </c>
      <c r="H27" s="27">
        <v>6.0</v>
      </c>
      <c r="I27" s="27">
        <v>295400.0</v>
      </c>
      <c r="J27" s="27">
        <v>7.59</v>
      </c>
      <c r="K27" s="27">
        <v>584.56</v>
      </c>
    </row>
    <row r="28">
      <c r="A28" s="26">
        <v>45987.0</v>
      </c>
      <c r="B28" s="27">
        <v>35976.0</v>
      </c>
      <c r="C28" s="27">
        <v>62.0</v>
      </c>
      <c r="D28" s="27">
        <v>0.17</v>
      </c>
      <c r="E28" s="27">
        <v>14.0</v>
      </c>
      <c r="F28" s="27">
        <v>716.0</v>
      </c>
      <c r="G28" s="27">
        <v>44363.0</v>
      </c>
      <c r="H28" s="27">
        <v>7.0</v>
      </c>
      <c r="I28" s="27">
        <v>366700.0</v>
      </c>
      <c r="J28" s="27">
        <v>11.29</v>
      </c>
      <c r="K28" s="27">
        <v>826.59</v>
      </c>
    </row>
    <row r="29">
      <c r="A29" s="26">
        <v>45988.0</v>
      </c>
      <c r="B29" s="27">
        <v>41710.0</v>
      </c>
      <c r="C29" s="27">
        <v>60.0</v>
      </c>
      <c r="D29" s="27">
        <v>0.14</v>
      </c>
      <c r="E29" s="27">
        <v>14.0</v>
      </c>
      <c r="F29" s="27">
        <v>640.0</v>
      </c>
      <c r="G29" s="27">
        <v>38379.0</v>
      </c>
      <c r="H29" s="27">
        <v>6.0</v>
      </c>
      <c r="I29" s="27">
        <v>394900.0</v>
      </c>
      <c r="J29" s="27">
        <v>10.0</v>
      </c>
      <c r="K29" s="27">
        <v>1028.95</v>
      </c>
    </row>
    <row r="30">
      <c r="A30" s="24">
        <v>45989.0</v>
      </c>
      <c r="B30" s="25">
        <v>35166.0</v>
      </c>
      <c r="C30" s="25">
        <v>73.0</v>
      </c>
      <c r="D30" s="25">
        <v>0.21</v>
      </c>
      <c r="E30" s="25">
        <v>14.0</v>
      </c>
      <c r="F30" s="25">
        <v>665.0</v>
      </c>
      <c r="G30" s="25">
        <v>48554.0</v>
      </c>
      <c r="H30" s="25">
        <v>4.0</v>
      </c>
      <c r="I30" s="25">
        <v>167800.0</v>
      </c>
      <c r="J30" s="25">
        <v>5.48</v>
      </c>
      <c r="K30" s="25">
        <v>345.59</v>
      </c>
    </row>
    <row r="31">
      <c r="A31" s="24">
        <v>45990.0</v>
      </c>
      <c r="B31" s="25">
        <v>44711.0</v>
      </c>
      <c r="C31" s="25">
        <v>85.0</v>
      </c>
      <c r="D31" s="25">
        <v>0.19</v>
      </c>
      <c r="E31" s="25">
        <v>10.0</v>
      </c>
      <c r="F31" s="25">
        <v>610.0</v>
      </c>
      <c r="G31" s="25">
        <v>51821.0</v>
      </c>
      <c r="H31" s="25">
        <v>5.0</v>
      </c>
      <c r="I31" s="25">
        <v>206300.0</v>
      </c>
      <c r="J31" s="25">
        <v>5.88</v>
      </c>
      <c r="K31" s="25">
        <v>398.1</v>
      </c>
    </row>
    <row r="32">
      <c r="A32" s="24">
        <v>45991.0</v>
      </c>
      <c r="B32" s="25">
        <v>56621.0</v>
      </c>
      <c r="C32" s="25">
        <v>93.0</v>
      </c>
      <c r="D32" s="25">
        <v>0.16</v>
      </c>
      <c r="E32" s="25">
        <v>11.0</v>
      </c>
      <c r="F32" s="25">
        <v>651.0</v>
      </c>
      <c r="G32" s="25">
        <v>60577.0</v>
      </c>
      <c r="H32" s="25">
        <v>4.0</v>
      </c>
      <c r="I32" s="25">
        <v>184400.0</v>
      </c>
      <c r="J32" s="25">
        <v>4.3</v>
      </c>
      <c r="K32" s="25">
        <v>304.41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24.5"/>
    <col customWidth="1" min="8" max="8" width="21.25"/>
    <col customWidth="1" min="9" max="9" width="24.5"/>
  </cols>
  <sheetData>
    <row r="1">
      <c r="A1" s="21" t="s">
        <v>1140</v>
      </c>
      <c r="B1" s="22" t="s">
        <v>1132</v>
      </c>
      <c r="C1" s="22" t="s">
        <v>1135</v>
      </c>
      <c r="D1" s="22" t="s">
        <v>1136</v>
      </c>
      <c r="E1" s="22" t="s">
        <v>1141</v>
      </c>
      <c r="F1" s="22" t="s">
        <v>1142</v>
      </c>
      <c r="G1" s="22" t="s">
        <v>1143</v>
      </c>
      <c r="H1" s="22" t="s">
        <v>1144</v>
      </c>
      <c r="I1" s="22" t="s">
        <v>1145</v>
      </c>
      <c r="J1" s="22" t="s">
        <v>1146</v>
      </c>
      <c r="K1" s="22" t="s">
        <v>1147</v>
      </c>
      <c r="L1" s="23" t="s">
        <v>1148</v>
      </c>
    </row>
    <row r="2">
      <c r="A2" s="9">
        <v>45962.0</v>
      </c>
      <c r="B2" s="12">
        <v>68.0</v>
      </c>
      <c r="C2" s="12">
        <v>404.0</v>
      </c>
      <c r="D2" s="28">
        <v>27467.0</v>
      </c>
      <c r="E2" s="12">
        <v>5.0</v>
      </c>
      <c r="F2" s="12">
        <v>7.0</v>
      </c>
      <c r="G2" s="28">
        <v>378000.0</v>
      </c>
      <c r="H2" s="12">
        <v>6.0</v>
      </c>
      <c r="I2" s="12">
        <v>8.0</v>
      </c>
      <c r="J2" s="28">
        <v>497000.0</v>
      </c>
      <c r="K2" s="29">
        <v>0.1176</v>
      </c>
      <c r="L2" s="29">
        <v>18.0944</v>
      </c>
    </row>
    <row r="3">
      <c r="A3" s="9">
        <v>45963.0</v>
      </c>
      <c r="B3" s="12">
        <v>65.0</v>
      </c>
      <c r="C3" s="12">
        <v>417.0</v>
      </c>
      <c r="D3" s="28">
        <v>27093.0</v>
      </c>
      <c r="E3" s="12">
        <v>6.0</v>
      </c>
      <c r="F3" s="12">
        <v>8.0</v>
      </c>
      <c r="G3" s="28">
        <v>528000.0</v>
      </c>
      <c r="H3" s="12">
        <v>6.0</v>
      </c>
      <c r="I3" s="12">
        <v>8.0</v>
      </c>
      <c r="J3" s="28">
        <v>528000.0</v>
      </c>
      <c r="K3" s="29">
        <v>0.1231</v>
      </c>
      <c r="L3" s="29">
        <v>19.4884</v>
      </c>
    </row>
    <row r="4">
      <c r="A4" s="9">
        <v>45964.0</v>
      </c>
      <c r="B4" s="12">
        <v>68.0</v>
      </c>
      <c r="C4" s="12">
        <v>396.0</v>
      </c>
      <c r="D4" s="28">
        <v>26939.0</v>
      </c>
      <c r="E4" s="12">
        <v>8.0</v>
      </c>
      <c r="F4" s="12">
        <v>10.0</v>
      </c>
      <c r="G4" s="28">
        <v>725900.0</v>
      </c>
      <c r="H4" s="12">
        <v>8.0</v>
      </c>
      <c r="I4" s="12">
        <v>10.0</v>
      </c>
      <c r="J4" s="28">
        <v>725900.0</v>
      </c>
      <c r="K4" s="29">
        <v>0.1471</v>
      </c>
      <c r="L4" s="29">
        <v>26.9461</v>
      </c>
    </row>
    <row r="5">
      <c r="A5" s="30">
        <v>45965.0</v>
      </c>
      <c r="B5" s="31">
        <v>66.0</v>
      </c>
      <c r="C5" s="31">
        <v>397.0</v>
      </c>
      <c r="D5" s="32">
        <v>26180.0</v>
      </c>
      <c r="E5" s="31">
        <v>5.0</v>
      </c>
      <c r="F5" s="31">
        <v>6.0</v>
      </c>
      <c r="G5" s="32">
        <v>414000.0</v>
      </c>
      <c r="H5" s="31">
        <v>5.0</v>
      </c>
      <c r="I5" s="31">
        <v>6.0</v>
      </c>
      <c r="J5" s="32">
        <v>414000.0</v>
      </c>
      <c r="K5" s="33">
        <v>0.0909</v>
      </c>
      <c r="L5" s="33">
        <v>15.8136</v>
      </c>
    </row>
    <row r="6">
      <c r="A6" s="30">
        <v>45966.0</v>
      </c>
      <c r="B6" s="31">
        <v>67.0</v>
      </c>
      <c r="C6" s="31">
        <v>404.0</v>
      </c>
      <c r="D6" s="32">
        <v>27071.0</v>
      </c>
      <c r="E6" s="31">
        <v>6.0</v>
      </c>
      <c r="F6" s="31">
        <v>10.0</v>
      </c>
      <c r="G6" s="32">
        <v>642000.0</v>
      </c>
      <c r="H6" s="31">
        <v>6.0</v>
      </c>
      <c r="I6" s="31">
        <v>10.0</v>
      </c>
      <c r="J6" s="32">
        <v>642000.0</v>
      </c>
      <c r="K6" s="33">
        <v>0.1493</v>
      </c>
      <c r="L6" s="33">
        <v>23.7154</v>
      </c>
    </row>
    <row r="7">
      <c r="A7" s="30">
        <v>45967.0</v>
      </c>
      <c r="B7" s="31">
        <v>134.0</v>
      </c>
      <c r="C7" s="31">
        <v>410.0</v>
      </c>
      <c r="D7" s="32">
        <v>54934.0</v>
      </c>
      <c r="E7" s="31">
        <v>5.0</v>
      </c>
      <c r="F7" s="31">
        <v>28.0</v>
      </c>
      <c r="G7" s="32">
        <v>1712000.0</v>
      </c>
      <c r="H7" s="31">
        <v>7.0</v>
      </c>
      <c r="I7" s="31">
        <v>30.0</v>
      </c>
      <c r="J7" s="32">
        <v>1896000.0</v>
      </c>
      <c r="K7" s="33">
        <v>0.2239</v>
      </c>
      <c r="L7" s="33">
        <v>34.5141</v>
      </c>
    </row>
    <row r="8">
      <c r="A8" s="30">
        <v>45968.0</v>
      </c>
      <c r="B8" s="31">
        <v>122.0</v>
      </c>
      <c r="C8" s="31">
        <v>411.0</v>
      </c>
      <c r="D8" s="32">
        <v>50182.0</v>
      </c>
      <c r="E8" s="31">
        <v>8.0</v>
      </c>
      <c r="F8" s="31">
        <v>9.0</v>
      </c>
      <c r="G8" s="32">
        <v>612500.0</v>
      </c>
      <c r="H8" s="31">
        <v>8.0</v>
      </c>
      <c r="I8" s="31">
        <v>9.0</v>
      </c>
      <c r="J8" s="32">
        <v>612500.0</v>
      </c>
      <c r="K8" s="33">
        <v>0.0738</v>
      </c>
      <c r="L8" s="33">
        <v>12.2056</v>
      </c>
    </row>
    <row r="9">
      <c r="A9" s="30">
        <v>45969.0</v>
      </c>
      <c r="B9" s="31">
        <v>164.0</v>
      </c>
      <c r="C9" s="31">
        <v>394.0</v>
      </c>
      <c r="D9" s="32">
        <v>64680.0</v>
      </c>
      <c r="E9" s="31">
        <v>10.0</v>
      </c>
      <c r="F9" s="31">
        <v>13.0</v>
      </c>
      <c r="G9" s="32">
        <v>749700.0</v>
      </c>
      <c r="H9" s="31">
        <v>13.0</v>
      </c>
      <c r="I9" s="31">
        <v>18.0</v>
      </c>
      <c r="J9" s="32">
        <v>1260700.0</v>
      </c>
      <c r="K9" s="33">
        <v>0.1098</v>
      </c>
      <c r="L9" s="33">
        <v>19.4913</v>
      </c>
    </row>
    <row r="10">
      <c r="A10" s="30">
        <v>45970.0</v>
      </c>
      <c r="B10" s="31">
        <v>173.0</v>
      </c>
      <c r="C10" s="31">
        <v>394.0</v>
      </c>
      <c r="D10" s="32">
        <v>68101.0</v>
      </c>
      <c r="E10" s="31">
        <v>8.0</v>
      </c>
      <c r="F10" s="31">
        <v>9.0</v>
      </c>
      <c r="G10" s="32">
        <v>653800.0</v>
      </c>
      <c r="H10" s="31">
        <v>9.0</v>
      </c>
      <c r="I10" s="31">
        <v>10.0</v>
      </c>
      <c r="J10" s="32">
        <v>718800.0</v>
      </c>
      <c r="K10" s="33">
        <v>0.0578</v>
      </c>
      <c r="L10" s="33">
        <v>10.5549</v>
      </c>
    </row>
    <row r="11">
      <c r="A11" s="30">
        <v>45971.0</v>
      </c>
      <c r="B11" s="31">
        <v>201.0</v>
      </c>
      <c r="C11" s="31">
        <v>392.0</v>
      </c>
      <c r="D11" s="32">
        <v>78892.0</v>
      </c>
      <c r="E11" s="31">
        <v>12.0</v>
      </c>
      <c r="F11" s="31">
        <v>15.0</v>
      </c>
      <c r="G11" s="32">
        <v>1016800.0</v>
      </c>
      <c r="H11" s="31">
        <v>13.0</v>
      </c>
      <c r="I11" s="31">
        <v>16.0</v>
      </c>
      <c r="J11" s="32">
        <v>1081800.0</v>
      </c>
      <c r="K11" s="33">
        <v>0.0796</v>
      </c>
      <c r="L11" s="33">
        <v>13.7124</v>
      </c>
    </row>
    <row r="12">
      <c r="A12" s="30">
        <v>45972.0</v>
      </c>
      <c r="B12" s="31">
        <v>202.0</v>
      </c>
      <c r="C12" s="31">
        <v>398.0</v>
      </c>
      <c r="D12" s="32">
        <v>80366.0</v>
      </c>
      <c r="E12" s="31">
        <v>7.0</v>
      </c>
      <c r="F12" s="31">
        <v>9.0</v>
      </c>
      <c r="G12" s="32">
        <v>637900.0</v>
      </c>
      <c r="H12" s="31">
        <v>7.0</v>
      </c>
      <c r="I12" s="31">
        <v>9.0</v>
      </c>
      <c r="J12" s="32">
        <v>637900.0</v>
      </c>
      <c r="K12" s="33">
        <v>0.0446</v>
      </c>
      <c r="L12" s="33">
        <v>7.9374</v>
      </c>
    </row>
    <row r="13">
      <c r="A13" s="30">
        <v>45973.0</v>
      </c>
      <c r="B13" s="31">
        <v>241.0</v>
      </c>
      <c r="C13" s="31">
        <v>325.0</v>
      </c>
      <c r="D13" s="32">
        <v>78386.0</v>
      </c>
      <c r="E13" s="31">
        <v>3.0</v>
      </c>
      <c r="F13" s="31">
        <v>3.0</v>
      </c>
      <c r="G13" s="32">
        <v>137900.0</v>
      </c>
      <c r="H13" s="31">
        <v>3.0</v>
      </c>
      <c r="I13" s="31">
        <v>3.0</v>
      </c>
      <c r="J13" s="32">
        <v>137900.0</v>
      </c>
      <c r="K13" s="33">
        <v>0.0124</v>
      </c>
      <c r="L13" s="33">
        <v>1.7592</v>
      </c>
    </row>
    <row r="14">
      <c r="A14" s="30">
        <v>45974.0</v>
      </c>
      <c r="B14" s="31">
        <v>121.0</v>
      </c>
      <c r="C14" s="31">
        <v>329.0</v>
      </c>
      <c r="D14" s="32">
        <v>39831.0</v>
      </c>
      <c r="E14" s="31">
        <v>2.0</v>
      </c>
      <c r="F14" s="31">
        <v>2.0</v>
      </c>
      <c r="G14" s="32">
        <v>118000.0</v>
      </c>
      <c r="H14" s="31">
        <v>2.0</v>
      </c>
      <c r="I14" s="31">
        <v>2.0</v>
      </c>
      <c r="J14" s="32">
        <v>118000.0</v>
      </c>
      <c r="K14" s="33">
        <v>0.0165</v>
      </c>
      <c r="L14" s="33">
        <v>2.9625</v>
      </c>
    </row>
    <row r="15">
      <c r="A15" s="26">
        <v>45975.0</v>
      </c>
      <c r="B15" s="27">
        <v>104.0</v>
      </c>
      <c r="C15" s="27">
        <v>320.0</v>
      </c>
      <c r="D15" s="34">
        <v>33319.0</v>
      </c>
      <c r="E15" s="27">
        <v>1.0</v>
      </c>
      <c r="F15" s="27">
        <v>1.0</v>
      </c>
      <c r="G15" s="34">
        <v>59000.0</v>
      </c>
      <c r="H15" s="27">
        <v>3.0</v>
      </c>
      <c r="I15" s="27">
        <v>3.0</v>
      </c>
      <c r="J15" s="34">
        <v>177000.0</v>
      </c>
      <c r="K15" s="35">
        <v>0.0288</v>
      </c>
      <c r="L15" s="35">
        <v>5.3123</v>
      </c>
    </row>
    <row r="16">
      <c r="A16" s="26">
        <v>45976.0</v>
      </c>
      <c r="B16" s="27">
        <v>77.0</v>
      </c>
      <c r="C16" s="27">
        <v>334.0</v>
      </c>
      <c r="D16" s="34">
        <v>25685.0</v>
      </c>
      <c r="E16" s="27">
        <v>1.0</v>
      </c>
      <c r="F16" s="27">
        <v>1.0</v>
      </c>
      <c r="G16" s="34">
        <v>59000.0</v>
      </c>
      <c r="H16" s="27">
        <v>2.0</v>
      </c>
      <c r="I16" s="27">
        <v>3.0</v>
      </c>
      <c r="J16" s="34">
        <v>189000.0</v>
      </c>
      <c r="K16" s="35">
        <v>0.039</v>
      </c>
      <c r="L16" s="35">
        <v>7.3584</v>
      </c>
    </row>
    <row r="17">
      <c r="A17" s="26">
        <v>45977.0</v>
      </c>
      <c r="B17" s="27">
        <v>79.0</v>
      </c>
      <c r="C17" s="27">
        <v>364.0</v>
      </c>
      <c r="D17" s="34">
        <v>28787.0</v>
      </c>
      <c r="E17" s="27">
        <v>2.0</v>
      </c>
      <c r="F17" s="27">
        <v>2.0</v>
      </c>
      <c r="G17" s="34">
        <v>168000.0</v>
      </c>
      <c r="H17" s="27">
        <v>2.0</v>
      </c>
      <c r="I17" s="27">
        <v>2.0</v>
      </c>
      <c r="J17" s="34">
        <v>168000.0</v>
      </c>
      <c r="K17" s="35">
        <v>0.0253</v>
      </c>
      <c r="L17" s="35">
        <v>5.836</v>
      </c>
    </row>
    <row r="18">
      <c r="A18" s="30">
        <v>45978.0</v>
      </c>
      <c r="B18" s="31">
        <v>108.0</v>
      </c>
      <c r="C18" s="31">
        <v>364.0</v>
      </c>
      <c r="D18" s="32">
        <v>39336.0</v>
      </c>
      <c r="E18" s="31">
        <v>3.0</v>
      </c>
      <c r="F18" s="31">
        <v>3.0</v>
      </c>
      <c r="G18" s="32">
        <v>313000.0</v>
      </c>
      <c r="H18" s="31">
        <v>3.0</v>
      </c>
      <c r="I18" s="31">
        <v>3.0</v>
      </c>
      <c r="J18" s="32">
        <v>313000.0</v>
      </c>
      <c r="K18" s="33">
        <v>0.0278</v>
      </c>
      <c r="L18" s="33">
        <v>7.9571</v>
      </c>
    </row>
    <row r="19">
      <c r="A19" s="30">
        <v>45979.0</v>
      </c>
      <c r="B19" s="31">
        <v>111.0</v>
      </c>
      <c r="C19" s="31">
        <v>354.0</v>
      </c>
      <c r="D19" s="32">
        <v>39336.0</v>
      </c>
      <c r="E19" s="31">
        <v>0.0</v>
      </c>
      <c r="F19" s="31">
        <v>0.0</v>
      </c>
      <c r="G19" s="31">
        <v>0.0</v>
      </c>
      <c r="H19" s="31">
        <v>3.0</v>
      </c>
      <c r="I19" s="31">
        <v>3.0</v>
      </c>
      <c r="J19" s="32">
        <v>269000.0</v>
      </c>
      <c r="K19" s="33">
        <v>0.027</v>
      </c>
      <c r="L19" s="33">
        <v>6.8385</v>
      </c>
    </row>
    <row r="20">
      <c r="A20" s="30">
        <v>45980.0</v>
      </c>
      <c r="B20" s="31">
        <v>110.0</v>
      </c>
      <c r="C20" s="31">
        <v>350.0</v>
      </c>
      <c r="D20" s="32">
        <v>38445.0</v>
      </c>
      <c r="E20" s="31">
        <v>10.0</v>
      </c>
      <c r="F20" s="31">
        <v>13.0</v>
      </c>
      <c r="G20" s="32">
        <v>669600.0</v>
      </c>
      <c r="H20" s="31">
        <v>12.0</v>
      </c>
      <c r="I20" s="31">
        <v>15.0</v>
      </c>
      <c r="J20" s="32">
        <v>799600.0</v>
      </c>
      <c r="K20" s="33">
        <v>0.1364</v>
      </c>
      <c r="L20" s="33">
        <v>20.7985</v>
      </c>
    </row>
    <row r="21">
      <c r="A21" s="30">
        <v>45981.0</v>
      </c>
      <c r="B21" s="31">
        <v>66.0</v>
      </c>
      <c r="C21" s="31">
        <v>359.0</v>
      </c>
      <c r="D21" s="32">
        <v>23694.0</v>
      </c>
      <c r="E21" s="31">
        <v>2.0</v>
      </c>
      <c r="F21" s="31">
        <v>6.0</v>
      </c>
      <c r="G21" s="32">
        <v>217600.0</v>
      </c>
      <c r="H21" s="31">
        <v>2.0</v>
      </c>
      <c r="I21" s="31">
        <v>6.0</v>
      </c>
      <c r="J21" s="32">
        <v>217600.0</v>
      </c>
      <c r="K21" s="33">
        <v>0.0909</v>
      </c>
      <c r="L21" s="33">
        <v>9.1838</v>
      </c>
    </row>
    <row r="22">
      <c r="A22" s="30">
        <v>45982.0</v>
      </c>
      <c r="B22" s="31">
        <v>84.0</v>
      </c>
      <c r="C22" s="31">
        <v>341.0</v>
      </c>
      <c r="D22" s="32">
        <v>28655.0</v>
      </c>
      <c r="E22" s="31">
        <v>2.0</v>
      </c>
      <c r="F22" s="31">
        <v>2.0</v>
      </c>
      <c r="G22" s="32">
        <v>131000.0</v>
      </c>
      <c r="H22" s="31">
        <v>2.0</v>
      </c>
      <c r="I22" s="31">
        <v>2.0</v>
      </c>
      <c r="J22" s="32">
        <v>131000.0</v>
      </c>
      <c r="K22" s="33">
        <v>0.0238</v>
      </c>
      <c r="L22" s="33">
        <v>4.5716</v>
      </c>
    </row>
    <row r="23">
      <c r="A23" s="30">
        <v>45983.0</v>
      </c>
      <c r="B23" s="31">
        <v>48.0</v>
      </c>
      <c r="C23" s="31">
        <v>313.0</v>
      </c>
      <c r="D23" s="32">
        <v>15015.0</v>
      </c>
      <c r="E23" s="31">
        <v>0.0</v>
      </c>
      <c r="F23" s="31">
        <v>0.0</v>
      </c>
      <c r="G23" s="31">
        <v>0.0</v>
      </c>
      <c r="H23" s="31">
        <v>0.0</v>
      </c>
      <c r="I23" s="31">
        <v>0.0</v>
      </c>
      <c r="J23" s="31">
        <v>0.0</v>
      </c>
      <c r="K23" s="33">
        <v>0.0</v>
      </c>
      <c r="L23" s="33">
        <v>0.0</v>
      </c>
    </row>
    <row r="24">
      <c r="A24" s="30">
        <v>45984.0</v>
      </c>
      <c r="B24" s="31">
        <v>64.0</v>
      </c>
      <c r="C24" s="31">
        <v>342.0</v>
      </c>
      <c r="D24" s="32">
        <v>21901.0</v>
      </c>
      <c r="E24" s="31">
        <v>0.0</v>
      </c>
      <c r="F24" s="31">
        <v>0.0</v>
      </c>
      <c r="G24" s="31">
        <v>0.0</v>
      </c>
      <c r="H24" s="31">
        <v>1.0</v>
      </c>
      <c r="I24" s="31">
        <v>1.0</v>
      </c>
      <c r="J24" s="32">
        <v>24900.0</v>
      </c>
      <c r="K24" s="33">
        <v>0.0156</v>
      </c>
      <c r="L24" s="33">
        <v>1.1369</v>
      </c>
    </row>
    <row r="25">
      <c r="A25" s="30">
        <v>45985.0</v>
      </c>
      <c r="B25" s="31">
        <v>103.0</v>
      </c>
      <c r="C25" s="31">
        <v>322.0</v>
      </c>
      <c r="D25" s="32">
        <v>33154.0</v>
      </c>
      <c r="E25" s="31">
        <v>5.0</v>
      </c>
      <c r="F25" s="31">
        <v>7.0</v>
      </c>
      <c r="G25" s="32">
        <v>419800.0</v>
      </c>
      <c r="H25" s="31">
        <v>6.0</v>
      </c>
      <c r="I25" s="31">
        <v>8.0</v>
      </c>
      <c r="J25" s="32">
        <v>484800.0</v>
      </c>
      <c r="K25" s="33">
        <v>0.0777</v>
      </c>
      <c r="L25" s="33">
        <v>14.6227</v>
      </c>
    </row>
    <row r="26">
      <c r="A26" s="26">
        <v>45986.0</v>
      </c>
      <c r="B26" s="27">
        <v>92.0</v>
      </c>
      <c r="C26" s="27">
        <v>345.0</v>
      </c>
      <c r="D26" s="34">
        <v>31746.0</v>
      </c>
      <c r="E26" s="27">
        <v>3.0</v>
      </c>
      <c r="F26" s="27">
        <v>3.0</v>
      </c>
      <c r="G26" s="34">
        <v>142900.0</v>
      </c>
      <c r="H26" s="27">
        <v>3.0</v>
      </c>
      <c r="I26" s="27">
        <v>3.0</v>
      </c>
      <c r="J26" s="34">
        <v>142900.0</v>
      </c>
      <c r="K26" s="35">
        <v>0.0326</v>
      </c>
      <c r="L26" s="35">
        <v>4.5014</v>
      </c>
    </row>
    <row r="27">
      <c r="A27" s="26">
        <v>45987.0</v>
      </c>
      <c r="B27" s="27">
        <v>67.0</v>
      </c>
      <c r="C27" s="27">
        <v>335.0</v>
      </c>
      <c r="D27" s="34">
        <v>22418.0</v>
      </c>
      <c r="E27" s="27">
        <v>1.0</v>
      </c>
      <c r="F27" s="27">
        <v>1.0</v>
      </c>
      <c r="G27" s="34">
        <v>59000.0</v>
      </c>
      <c r="H27" s="27">
        <v>3.0</v>
      </c>
      <c r="I27" s="27">
        <v>3.0</v>
      </c>
      <c r="J27" s="34">
        <v>233000.0</v>
      </c>
      <c r="K27" s="35">
        <v>0.0448</v>
      </c>
      <c r="L27" s="35">
        <v>10.3934</v>
      </c>
    </row>
    <row r="28">
      <c r="A28" s="26">
        <v>45988.0</v>
      </c>
      <c r="B28" s="27">
        <v>65.0</v>
      </c>
      <c r="C28" s="27">
        <v>343.0</v>
      </c>
      <c r="D28" s="34">
        <v>22286.0</v>
      </c>
      <c r="E28" s="27">
        <v>2.0</v>
      </c>
      <c r="F28" s="27">
        <v>2.0</v>
      </c>
      <c r="G28" s="34">
        <v>118000.0</v>
      </c>
      <c r="H28" s="27">
        <v>3.0</v>
      </c>
      <c r="I28" s="27">
        <v>3.0</v>
      </c>
      <c r="J28" s="34">
        <v>177000.0</v>
      </c>
      <c r="K28" s="35">
        <v>0.0462</v>
      </c>
      <c r="L28" s="35">
        <v>7.9422</v>
      </c>
    </row>
    <row r="29">
      <c r="A29" s="30">
        <v>45989.0</v>
      </c>
      <c r="B29" s="31">
        <v>76.0</v>
      </c>
      <c r="C29" s="31">
        <v>348.0</v>
      </c>
      <c r="D29" s="32">
        <v>26444.0</v>
      </c>
      <c r="E29" s="31">
        <v>1.0</v>
      </c>
      <c r="F29" s="31">
        <v>1.0</v>
      </c>
      <c r="G29" s="32">
        <v>59000.0</v>
      </c>
      <c r="H29" s="31">
        <v>2.0</v>
      </c>
      <c r="I29" s="31">
        <v>2.0</v>
      </c>
      <c r="J29" s="32">
        <v>124000.0</v>
      </c>
      <c r="K29" s="33">
        <v>0.0263</v>
      </c>
      <c r="L29" s="33">
        <v>4.6892</v>
      </c>
    </row>
    <row r="30">
      <c r="A30" s="30">
        <v>45990.0</v>
      </c>
      <c r="B30" s="31">
        <v>110.0</v>
      </c>
      <c r="C30" s="31">
        <v>337.0</v>
      </c>
      <c r="D30" s="32">
        <v>37037.0</v>
      </c>
      <c r="E30" s="31">
        <v>1.0</v>
      </c>
      <c r="F30" s="31">
        <v>1.0</v>
      </c>
      <c r="G30" s="32">
        <v>65000.0</v>
      </c>
      <c r="H30" s="31">
        <v>3.0</v>
      </c>
      <c r="I30" s="31">
        <v>3.0</v>
      </c>
      <c r="J30" s="32">
        <v>189000.0</v>
      </c>
      <c r="K30" s="33">
        <v>0.0273</v>
      </c>
      <c r="L30" s="33">
        <v>5.103</v>
      </c>
    </row>
    <row r="31">
      <c r="A31" s="30">
        <v>45991.0</v>
      </c>
      <c r="B31" s="31">
        <v>127.0</v>
      </c>
      <c r="C31" s="31">
        <v>330.0</v>
      </c>
      <c r="D31" s="32">
        <v>41888.0</v>
      </c>
      <c r="E31" s="31">
        <v>3.0</v>
      </c>
      <c r="F31" s="31">
        <v>3.0</v>
      </c>
      <c r="G31" s="32">
        <v>104400.0</v>
      </c>
      <c r="H31" s="31">
        <v>4.0</v>
      </c>
      <c r="I31" s="31">
        <v>4.0</v>
      </c>
      <c r="J31" s="32">
        <v>163400.0</v>
      </c>
      <c r="K31" s="33">
        <v>0.0315</v>
      </c>
      <c r="L31" s="33">
        <v>3.9009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</cols>
  <sheetData>
    <row r="1">
      <c r="A1" s="36" t="s">
        <v>1</v>
      </c>
      <c r="B1" s="37" t="s">
        <v>1149</v>
      </c>
      <c r="C1" s="37" t="s">
        <v>17</v>
      </c>
      <c r="D1" s="37" t="s">
        <v>1150</v>
      </c>
      <c r="E1" s="37" t="s">
        <v>1151</v>
      </c>
      <c r="F1" s="37" t="s">
        <v>1152</v>
      </c>
      <c r="G1" s="37" t="s">
        <v>20</v>
      </c>
      <c r="H1" s="37" t="s">
        <v>1153</v>
      </c>
      <c r="I1" s="37" t="s">
        <v>1154</v>
      </c>
      <c r="J1" s="37" t="s">
        <v>1155</v>
      </c>
      <c r="K1" s="37" t="s">
        <v>1156</v>
      </c>
      <c r="L1" s="37" t="s">
        <v>1157</v>
      </c>
      <c r="M1" s="37" t="s">
        <v>1158</v>
      </c>
      <c r="N1" s="37" t="s">
        <v>1159</v>
      </c>
      <c r="O1" s="37" t="s">
        <v>18</v>
      </c>
      <c r="P1" s="37" t="s">
        <v>19</v>
      </c>
      <c r="Q1" s="37" t="s">
        <v>1160</v>
      </c>
      <c r="R1" s="37" t="s">
        <v>23</v>
      </c>
      <c r="S1" s="37" t="s">
        <v>1161</v>
      </c>
      <c r="T1" s="37" t="s">
        <v>1162</v>
      </c>
      <c r="U1" s="37" t="s">
        <v>1163</v>
      </c>
      <c r="V1" s="37" t="s">
        <v>1164</v>
      </c>
      <c r="W1" s="37" t="s">
        <v>1165</v>
      </c>
      <c r="X1" s="37" t="s">
        <v>1166</v>
      </c>
      <c r="Y1" s="37" t="s">
        <v>1167</v>
      </c>
      <c r="Z1" s="37" t="s">
        <v>1168</v>
      </c>
      <c r="AA1" s="37" t="s">
        <v>1169</v>
      </c>
      <c r="AB1" s="37" t="s">
        <v>1170</v>
      </c>
      <c r="AC1" s="37" t="s">
        <v>1171</v>
      </c>
      <c r="AD1" s="37" t="s">
        <v>1172</v>
      </c>
      <c r="AE1" s="37" t="s">
        <v>1173</v>
      </c>
      <c r="AF1" s="37" t="s">
        <v>1174</v>
      </c>
      <c r="AG1" s="37" t="s">
        <v>1175</v>
      </c>
      <c r="AH1" s="37" t="s">
        <v>1176</v>
      </c>
      <c r="AI1" s="37" t="s">
        <v>1177</v>
      </c>
      <c r="AJ1" s="37" t="s">
        <v>1178</v>
      </c>
      <c r="AK1" s="37" t="s">
        <v>1179</v>
      </c>
      <c r="AL1" s="37" t="s">
        <v>1180</v>
      </c>
      <c r="AM1" s="37" t="s">
        <v>1181</v>
      </c>
      <c r="AN1" s="37" t="s">
        <v>1182</v>
      </c>
      <c r="AO1" s="37" t="s">
        <v>1183</v>
      </c>
      <c r="AP1" s="37" t="s">
        <v>1184</v>
      </c>
      <c r="AQ1" s="37" t="s">
        <v>1185</v>
      </c>
      <c r="AR1" s="37" t="s">
        <v>1186</v>
      </c>
      <c r="AS1" s="37" t="s">
        <v>1187</v>
      </c>
      <c r="AT1" s="37" t="s">
        <v>1188</v>
      </c>
      <c r="AU1" s="37" t="s">
        <v>1189</v>
      </c>
      <c r="AV1" s="37" t="s">
        <v>1190</v>
      </c>
      <c r="AW1" s="37" t="s">
        <v>1191</v>
      </c>
      <c r="AX1" s="37" t="s">
        <v>1192</v>
      </c>
      <c r="AY1" s="37" t="s">
        <v>1193</v>
      </c>
      <c r="AZ1" s="37" t="s">
        <v>1194</v>
      </c>
      <c r="BA1" s="37" t="s">
        <v>1195</v>
      </c>
      <c r="BB1" s="37" t="s">
        <v>1196</v>
      </c>
      <c r="BC1" s="37" t="s">
        <v>1197</v>
      </c>
      <c r="BD1" s="37" t="s">
        <v>1198</v>
      </c>
      <c r="BE1" s="37" t="s">
        <v>1199</v>
      </c>
      <c r="BF1" s="37" t="s">
        <v>1200</v>
      </c>
      <c r="BG1" s="37" t="s">
        <v>1201</v>
      </c>
      <c r="BH1" s="37" t="s">
        <v>1202</v>
      </c>
      <c r="BI1" s="36"/>
    </row>
    <row r="2">
      <c r="A2" s="38">
        <f t="shared" ref="A2:A1000" si="1">I2</f>
        <v>45962</v>
      </c>
      <c r="B2" s="39">
        <v>1.0</v>
      </c>
      <c r="C2" s="39" t="s">
        <v>1203</v>
      </c>
      <c r="D2" s="39">
        <v>1.0</v>
      </c>
      <c r="E2" s="39">
        <v>2.647103118E9</v>
      </c>
      <c r="F2" s="39" t="s">
        <v>1204</v>
      </c>
      <c r="G2" s="39" t="s">
        <v>1205</v>
      </c>
      <c r="H2" s="39" t="s">
        <v>1206</v>
      </c>
      <c r="I2" s="40">
        <v>45962.0</v>
      </c>
      <c r="J2" s="40">
        <v>45964.0</v>
      </c>
      <c r="K2" s="40">
        <v>45965.0</v>
      </c>
      <c r="L2" s="41">
        <v>45973.0</v>
      </c>
      <c r="M2" s="41">
        <v>45973.0</v>
      </c>
      <c r="N2" s="41">
        <v>45975.0</v>
      </c>
      <c r="O2" s="39">
        <v>8.218763311E9</v>
      </c>
      <c r="P2" s="39" t="s">
        <v>1207</v>
      </c>
      <c r="Q2" s="39" t="s">
        <v>1208</v>
      </c>
      <c r="R2" s="39">
        <v>1.0</v>
      </c>
      <c r="S2" s="39">
        <v>22948.0</v>
      </c>
      <c r="T2" s="39">
        <v>29000.0</v>
      </c>
      <c r="U2" s="39">
        <v>0.0</v>
      </c>
      <c r="V2" s="39">
        <v>6052.0</v>
      </c>
      <c r="W2" s="39">
        <v>0.0</v>
      </c>
      <c r="X2" s="39">
        <v>29000.0</v>
      </c>
      <c r="Y2" s="39">
        <v>0.0</v>
      </c>
      <c r="Z2" s="39">
        <v>0.0</v>
      </c>
      <c r="AA2" s="39">
        <v>0.0</v>
      </c>
      <c r="AB2" s="39">
        <v>0.0</v>
      </c>
      <c r="AC2" s="39">
        <v>0.0</v>
      </c>
      <c r="AD2" s="39">
        <v>0.0</v>
      </c>
      <c r="AE2" s="39">
        <v>0.0</v>
      </c>
      <c r="AF2" s="39">
        <v>0.0</v>
      </c>
      <c r="AG2" s="39">
        <v>0.0</v>
      </c>
      <c r="AH2" s="39">
        <v>0.0</v>
      </c>
      <c r="AI2" s="39">
        <v>0.0</v>
      </c>
      <c r="AJ2" s="39">
        <v>0.0</v>
      </c>
      <c r="AK2" s="39">
        <v>0.0</v>
      </c>
      <c r="AL2" s="39">
        <v>4.6072394788E11</v>
      </c>
      <c r="AM2" s="39" t="s">
        <v>1209</v>
      </c>
      <c r="AN2" s="42">
        <v>0.09</v>
      </c>
      <c r="AO2" s="43">
        <v>0.0</v>
      </c>
      <c r="AP2" s="39">
        <v>0.0</v>
      </c>
      <c r="AQ2" s="39">
        <v>0.0</v>
      </c>
      <c r="AR2" s="39">
        <v>0.0</v>
      </c>
      <c r="AS2" s="39">
        <v>5832.0</v>
      </c>
      <c r="AT2" s="39">
        <v>2700.0</v>
      </c>
      <c r="AU2" s="39">
        <v>3132.0</v>
      </c>
      <c r="AV2" s="39">
        <v>598.0</v>
      </c>
      <c r="AW2" s="39">
        <v>0.0</v>
      </c>
      <c r="AX2" s="39">
        <v>0.0</v>
      </c>
      <c r="AY2" s="39">
        <v>0.0</v>
      </c>
      <c r="AZ2" s="39">
        <v>0.0</v>
      </c>
      <c r="BA2" s="39">
        <v>0.0</v>
      </c>
      <c r="BB2" s="39">
        <v>0.0</v>
      </c>
      <c r="BC2" s="39">
        <v>220.0</v>
      </c>
      <c r="BD2" s="39">
        <v>0.0</v>
      </c>
      <c r="BE2" s="39">
        <v>0.0</v>
      </c>
      <c r="BF2" s="39">
        <v>0.0</v>
      </c>
      <c r="BG2" s="39">
        <v>0.0</v>
      </c>
      <c r="BH2" s="39">
        <v>0.0</v>
      </c>
      <c r="BI2" s="44"/>
    </row>
    <row r="3">
      <c r="A3" s="38">
        <f t="shared" si="1"/>
        <v>45962</v>
      </c>
      <c r="B3" s="39">
        <v>2.0</v>
      </c>
      <c r="C3" s="39" t="s">
        <v>1210</v>
      </c>
      <c r="D3" s="39">
        <v>1.0</v>
      </c>
      <c r="E3" s="39">
        <v>2.647113402E9</v>
      </c>
      <c r="F3" s="39" t="s">
        <v>1204</v>
      </c>
      <c r="G3" s="39" t="s">
        <v>1211</v>
      </c>
      <c r="H3" s="39" t="s">
        <v>1212</v>
      </c>
      <c r="I3" s="40">
        <v>45962.0</v>
      </c>
      <c r="J3" s="40">
        <v>45964.0</v>
      </c>
      <c r="K3" s="40">
        <v>45965.0</v>
      </c>
      <c r="L3" s="41">
        <v>45973.0</v>
      </c>
      <c r="M3" s="41">
        <v>45973.0</v>
      </c>
      <c r="N3" s="41">
        <v>45975.0</v>
      </c>
      <c r="O3" s="39">
        <v>6.342749718E9</v>
      </c>
      <c r="P3" s="39" t="s">
        <v>1213</v>
      </c>
      <c r="Q3" s="39" t="s">
        <v>1214</v>
      </c>
      <c r="R3" s="39">
        <v>1.0</v>
      </c>
      <c r="S3" s="39">
        <v>25109.0</v>
      </c>
      <c r="T3" s="39">
        <v>59000.0</v>
      </c>
      <c r="U3" s="39">
        <v>0.0</v>
      </c>
      <c r="V3" s="39">
        <v>33891.0</v>
      </c>
      <c r="W3" s="39">
        <v>25109.0</v>
      </c>
      <c r="X3" s="39">
        <v>59000.0</v>
      </c>
      <c r="Y3" s="39">
        <v>0.0</v>
      </c>
      <c r="Z3" s="39">
        <v>0.0</v>
      </c>
      <c r="AA3" s="39">
        <v>0.0</v>
      </c>
      <c r="AB3" s="39">
        <v>0.0</v>
      </c>
      <c r="AC3" s="39">
        <v>0.0</v>
      </c>
      <c r="AD3" s="39">
        <v>0.0</v>
      </c>
      <c r="AE3" s="39">
        <v>0.0</v>
      </c>
      <c r="AF3" s="39">
        <v>0.0</v>
      </c>
      <c r="AG3" s="39">
        <v>0.0</v>
      </c>
      <c r="AH3" s="39">
        <v>0.0</v>
      </c>
      <c r="AI3" s="39">
        <v>0.0</v>
      </c>
      <c r="AJ3" s="39">
        <v>0.0</v>
      </c>
      <c r="AK3" s="39">
        <v>0.0</v>
      </c>
      <c r="AL3" s="39">
        <v>4.60723947891E11</v>
      </c>
      <c r="AM3" s="39" t="s">
        <v>1209</v>
      </c>
      <c r="AN3" s="42">
        <v>0.09</v>
      </c>
      <c r="AO3" s="43">
        <v>2038.0</v>
      </c>
      <c r="AP3" s="39">
        <v>0.0</v>
      </c>
      <c r="AQ3" s="39">
        <v>0.0</v>
      </c>
      <c r="AR3" s="39">
        <v>0.0</v>
      </c>
      <c r="AS3" s="39">
        <v>31330.0</v>
      </c>
      <c r="AT3" s="39">
        <v>27240.0</v>
      </c>
      <c r="AU3" s="39">
        <v>4090.0</v>
      </c>
      <c r="AV3" s="39">
        <v>0.0</v>
      </c>
      <c r="AW3" s="39">
        <v>0.0</v>
      </c>
      <c r="AX3" s="39">
        <v>0.0</v>
      </c>
      <c r="AY3" s="39">
        <v>0.0</v>
      </c>
      <c r="AZ3" s="39">
        <v>0.0</v>
      </c>
      <c r="BA3" s="39">
        <v>0.0</v>
      </c>
      <c r="BB3" s="39">
        <v>0.0</v>
      </c>
      <c r="BC3" s="39">
        <v>523.0</v>
      </c>
      <c r="BD3" s="39">
        <v>0.0</v>
      </c>
      <c r="BE3" s="39">
        <v>0.0</v>
      </c>
      <c r="BF3" s="39">
        <v>0.0</v>
      </c>
      <c r="BG3" s="39">
        <v>0.0</v>
      </c>
      <c r="BH3" s="39">
        <v>0.0</v>
      </c>
      <c r="BI3" s="44"/>
    </row>
    <row r="4">
      <c r="A4" s="38">
        <f t="shared" si="1"/>
        <v>45962</v>
      </c>
      <c r="B4" s="39">
        <v>3.0</v>
      </c>
      <c r="C4" s="39" t="s">
        <v>1215</v>
      </c>
      <c r="D4" s="39">
        <v>1.0</v>
      </c>
      <c r="E4" s="39">
        <v>2.647217241E9</v>
      </c>
      <c r="F4" s="39" t="s">
        <v>1204</v>
      </c>
      <c r="G4" s="39" t="s">
        <v>1216</v>
      </c>
      <c r="H4" s="39" t="s">
        <v>1217</v>
      </c>
      <c r="I4" s="40">
        <v>45962.0</v>
      </c>
      <c r="J4" s="40">
        <v>45964.0</v>
      </c>
      <c r="K4" s="40">
        <v>45965.0</v>
      </c>
      <c r="L4" s="41">
        <v>45973.0</v>
      </c>
      <c r="M4" s="41">
        <v>45973.0</v>
      </c>
      <c r="N4" s="41">
        <v>45975.0</v>
      </c>
      <c r="O4" s="39">
        <v>3.967025462E9</v>
      </c>
      <c r="P4" s="39" t="s">
        <v>1218</v>
      </c>
      <c r="Q4" s="39" t="s">
        <v>1219</v>
      </c>
      <c r="R4" s="39">
        <v>1.0</v>
      </c>
      <c r="S4" s="39">
        <v>28780.0</v>
      </c>
      <c r="T4" s="39">
        <v>39900.0</v>
      </c>
      <c r="U4" s="39">
        <v>0.0</v>
      </c>
      <c r="V4" s="39">
        <v>11120.0</v>
      </c>
      <c r="W4" s="39">
        <v>0.0</v>
      </c>
      <c r="X4" s="39">
        <v>39900.0</v>
      </c>
      <c r="Y4" s="39">
        <v>0.0</v>
      </c>
      <c r="Z4" s="39">
        <v>0.0</v>
      </c>
      <c r="AA4" s="39">
        <v>0.0</v>
      </c>
      <c r="AB4" s="39">
        <v>0.0</v>
      </c>
      <c r="AC4" s="39">
        <v>0.0</v>
      </c>
      <c r="AD4" s="39">
        <v>0.0</v>
      </c>
      <c r="AE4" s="39">
        <v>0.0</v>
      </c>
      <c r="AF4" s="39">
        <v>0.0</v>
      </c>
      <c r="AG4" s="39">
        <v>0.0</v>
      </c>
      <c r="AH4" s="39">
        <v>0.0</v>
      </c>
      <c r="AI4" s="39">
        <v>0.0</v>
      </c>
      <c r="AJ4" s="39">
        <v>0.0</v>
      </c>
      <c r="AK4" s="39">
        <v>0.0</v>
      </c>
      <c r="AL4" s="39">
        <v>4.60723947902E11</v>
      </c>
      <c r="AM4" s="39" t="s">
        <v>1209</v>
      </c>
      <c r="AN4" s="42">
        <v>0.09</v>
      </c>
      <c r="AO4" s="43">
        <v>719.0</v>
      </c>
      <c r="AP4" s="39">
        <v>0.0</v>
      </c>
      <c r="AQ4" s="39">
        <v>0.0</v>
      </c>
      <c r="AR4" s="39">
        <v>0.0</v>
      </c>
      <c r="AS4" s="39">
        <v>7990.0</v>
      </c>
      <c r="AT4" s="39">
        <v>4400.0</v>
      </c>
      <c r="AU4" s="39">
        <v>3590.0</v>
      </c>
      <c r="AV4" s="39">
        <v>0.0</v>
      </c>
      <c r="AW4" s="39">
        <v>0.0</v>
      </c>
      <c r="AX4" s="39">
        <v>0.0</v>
      </c>
      <c r="AY4" s="39">
        <v>0.0</v>
      </c>
      <c r="AZ4" s="39">
        <v>0.0</v>
      </c>
      <c r="BA4" s="39">
        <v>0.0</v>
      </c>
      <c r="BB4" s="39">
        <v>0.0</v>
      </c>
      <c r="BC4" s="39">
        <v>2411.0</v>
      </c>
      <c r="BD4" s="39">
        <v>0.0</v>
      </c>
      <c r="BE4" s="39">
        <v>0.0</v>
      </c>
      <c r="BF4" s="39">
        <v>0.0</v>
      </c>
      <c r="BG4" s="39">
        <v>0.0</v>
      </c>
      <c r="BH4" s="39">
        <v>0.0</v>
      </c>
      <c r="BI4" s="44"/>
    </row>
    <row r="5">
      <c r="A5" s="38">
        <f t="shared" si="1"/>
        <v>45962</v>
      </c>
      <c r="B5" s="39">
        <v>4.0</v>
      </c>
      <c r="C5" s="39" t="s">
        <v>1220</v>
      </c>
      <c r="D5" s="39">
        <v>1.0</v>
      </c>
      <c r="E5" s="39">
        <v>2.647222551E9</v>
      </c>
      <c r="F5" s="39" t="s">
        <v>1204</v>
      </c>
      <c r="G5" s="39" t="s">
        <v>1221</v>
      </c>
      <c r="H5" s="39" t="s">
        <v>1222</v>
      </c>
      <c r="I5" s="40">
        <v>45962.0</v>
      </c>
      <c r="J5" s="40">
        <v>45964.0</v>
      </c>
      <c r="K5" s="40">
        <v>45965.0</v>
      </c>
      <c r="L5" s="41">
        <v>45973.0</v>
      </c>
      <c r="M5" s="41">
        <v>45973.0</v>
      </c>
      <c r="N5" s="41">
        <v>45975.0</v>
      </c>
      <c r="O5" s="39">
        <v>6.422434702E9</v>
      </c>
      <c r="P5" s="39" t="s">
        <v>1223</v>
      </c>
      <c r="Q5" s="39" t="s">
        <v>1224</v>
      </c>
      <c r="R5" s="39">
        <v>1.0</v>
      </c>
      <c r="S5" s="39">
        <v>15937.0</v>
      </c>
      <c r="T5" s="39">
        <v>19900.0</v>
      </c>
      <c r="U5" s="39">
        <v>0.0</v>
      </c>
      <c r="V5" s="39">
        <v>3963.0</v>
      </c>
      <c r="W5" s="39">
        <v>0.0</v>
      </c>
      <c r="X5" s="39">
        <v>19900.0</v>
      </c>
      <c r="Y5" s="39">
        <v>0.0</v>
      </c>
      <c r="Z5" s="39">
        <v>0.0</v>
      </c>
      <c r="AA5" s="39">
        <v>0.0</v>
      </c>
      <c r="AB5" s="39">
        <v>0.0</v>
      </c>
      <c r="AC5" s="39">
        <v>0.0</v>
      </c>
      <c r="AD5" s="39">
        <v>0.0</v>
      </c>
      <c r="AE5" s="39">
        <v>0.0</v>
      </c>
      <c r="AF5" s="39">
        <v>0.0</v>
      </c>
      <c r="AG5" s="39">
        <v>0.0</v>
      </c>
      <c r="AH5" s="39">
        <v>0.0</v>
      </c>
      <c r="AI5" s="39">
        <v>0.0</v>
      </c>
      <c r="AJ5" s="39">
        <v>0.0</v>
      </c>
      <c r="AK5" s="39">
        <v>0.0</v>
      </c>
      <c r="AL5" s="39">
        <v>4.60723947913E11</v>
      </c>
      <c r="AM5" s="39" t="s">
        <v>1209</v>
      </c>
      <c r="AN5" s="42">
        <v>0.11</v>
      </c>
      <c r="AO5" s="43">
        <v>1557.0</v>
      </c>
      <c r="AP5" s="39">
        <v>0.0</v>
      </c>
      <c r="AQ5" s="39">
        <v>0.0</v>
      </c>
      <c r="AR5" s="39">
        <v>0.0</v>
      </c>
      <c r="AS5" s="39">
        <v>1990.0</v>
      </c>
      <c r="AT5" s="39">
        <v>1200.0</v>
      </c>
      <c r="AU5" s="39">
        <v>790.0</v>
      </c>
      <c r="AV5" s="39">
        <v>0.0</v>
      </c>
      <c r="AW5" s="39">
        <v>0.0</v>
      </c>
      <c r="AX5" s="39">
        <v>0.0</v>
      </c>
      <c r="AY5" s="39">
        <v>0.0</v>
      </c>
      <c r="AZ5" s="39">
        <v>0.0</v>
      </c>
      <c r="BA5" s="39">
        <v>0.0</v>
      </c>
      <c r="BB5" s="39">
        <v>0.0</v>
      </c>
      <c r="BC5" s="39">
        <v>416.0</v>
      </c>
      <c r="BD5" s="39">
        <v>0.0</v>
      </c>
      <c r="BE5" s="39">
        <v>0.0</v>
      </c>
      <c r="BF5" s="39">
        <v>0.0</v>
      </c>
      <c r="BG5" s="39">
        <v>0.0</v>
      </c>
      <c r="BH5" s="39">
        <v>0.0</v>
      </c>
      <c r="BI5" s="44"/>
    </row>
    <row r="6">
      <c r="A6" s="38">
        <f t="shared" si="1"/>
        <v>45962</v>
      </c>
      <c r="B6" s="39">
        <v>5.0</v>
      </c>
      <c r="C6" s="39" t="s">
        <v>1225</v>
      </c>
      <c r="D6" s="39">
        <v>3.0</v>
      </c>
      <c r="E6" s="39">
        <v>2.647318872E9</v>
      </c>
      <c r="F6" s="39" t="s">
        <v>1204</v>
      </c>
      <c r="G6" s="39" t="s">
        <v>1226</v>
      </c>
      <c r="H6" s="39" t="s">
        <v>1227</v>
      </c>
      <c r="I6" s="40">
        <v>45962.0</v>
      </c>
      <c r="J6" s="40">
        <v>45964.0</v>
      </c>
      <c r="K6" s="40">
        <v>45965.0</v>
      </c>
      <c r="L6" s="41">
        <v>45973.0</v>
      </c>
      <c r="M6" s="41">
        <v>45973.0</v>
      </c>
      <c r="N6" s="41">
        <v>45975.0</v>
      </c>
      <c r="O6" s="39">
        <v>6.342749718E9</v>
      </c>
      <c r="P6" s="39" t="s">
        <v>1213</v>
      </c>
      <c r="Q6" s="39" t="s">
        <v>1214</v>
      </c>
      <c r="R6" s="39">
        <v>1.0</v>
      </c>
      <c r="S6" s="39">
        <v>25245.0</v>
      </c>
      <c r="T6" s="39">
        <v>59000.0</v>
      </c>
      <c r="U6" s="39">
        <v>0.0</v>
      </c>
      <c r="V6" s="39">
        <v>33755.0</v>
      </c>
      <c r="W6" s="39">
        <v>25245.0</v>
      </c>
      <c r="X6" s="39">
        <v>59000.0</v>
      </c>
      <c r="Y6" s="39">
        <v>0.0</v>
      </c>
      <c r="Z6" s="39">
        <v>0.0</v>
      </c>
      <c r="AA6" s="39">
        <v>0.0</v>
      </c>
      <c r="AB6" s="39">
        <v>0.0</v>
      </c>
      <c r="AC6" s="39">
        <v>0.0</v>
      </c>
      <c r="AD6" s="39">
        <v>0.0</v>
      </c>
      <c r="AE6" s="39">
        <v>0.0</v>
      </c>
      <c r="AF6" s="39">
        <v>0.0</v>
      </c>
      <c r="AG6" s="39">
        <v>0.0</v>
      </c>
      <c r="AH6" s="39">
        <v>0.0</v>
      </c>
      <c r="AI6" s="39">
        <v>0.0</v>
      </c>
      <c r="AJ6" s="39">
        <v>0.0</v>
      </c>
      <c r="AK6" s="39">
        <v>0.0</v>
      </c>
      <c r="AL6" s="39">
        <v>4.60723947924E11</v>
      </c>
      <c r="AM6" s="39" t="s">
        <v>1209</v>
      </c>
      <c r="AN6" s="42">
        <v>0.09</v>
      </c>
      <c r="AO6" s="43">
        <v>2614.0</v>
      </c>
      <c r="AP6" s="39">
        <v>0.0</v>
      </c>
      <c r="AQ6" s="39">
        <v>0.0</v>
      </c>
      <c r="AR6" s="39">
        <v>0.0</v>
      </c>
      <c r="AS6" s="39">
        <v>30610.0</v>
      </c>
      <c r="AT6" s="39">
        <v>27240.0</v>
      </c>
      <c r="AU6" s="39">
        <v>3370.0</v>
      </c>
      <c r="AV6" s="39">
        <v>0.0</v>
      </c>
      <c r="AW6" s="39">
        <v>0.0</v>
      </c>
      <c r="AX6" s="39">
        <v>0.0</v>
      </c>
      <c r="AY6" s="39">
        <v>0.0</v>
      </c>
      <c r="AZ6" s="39">
        <v>0.0</v>
      </c>
      <c r="BA6" s="39">
        <v>0.0</v>
      </c>
      <c r="BB6" s="39">
        <v>0.0</v>
      </c>
      <c r="BC6" s="39">
        <v>531.0</v>
      </c>
      <c r="BD6" s="39">
        <v>0.0</v>
      </c>
      <c r="BE6" s="39">
        <v>0.0</v>
      </c>
      <c r="BF6" s="39">
        <v>0.0</v>
      </c>
      <c r="BG6" s="39">
        <v>0.0</v>
      </c>
      <c r="BH6" s="39">
        <v>0.0</v>
      </c>
      <c r="BI6" s="44"/>
    </row>
    <row r="7">
      <c r="A7" s="38">
        <f t="shared" si="1"/>
        <v>45962</v>
      </c>
      <c r="B7" s="39">
        <v>6.0</v>
      </c>
      <c r="C7" s="39" t="s">
        <v>1228</v>
      </c>
      <c r="D7" s="39">
        <v>1.0</v>
      </c>
      <c r="E7" s="39">
        <v>2.647355404E9</v>
      </c>
      <c r="F7" s="39" t="s">
        <v>1204</v>
      </c>
      <c r="G7" s="39" t="s">
        <v>1229</v>
      </c>
      <c r="H7" s="39" t="s">
        <v>1230</v>
      </c>
      <c r="I7" s="40">
        <v>45962.0</v>
      </c>
      <c r="J7" s="40">
        <v>45964.0</v>
      </c>
      <c r="K7" s="40">
        <v>45965.0</v>
      </c>
      <c r="L7" s="45">
        <v>45966.0</v>
      </c>
      <c r="M7" s="45">
        <v>45966.0</v>
      </c>
      <c r="N7" s="45">
        <v>45968.0</v>
      </c>
      <c r="O7" s="39">
        <v>6.546161396E9</v>
      </c>
      <c r="P7" s="39" t="s">
        <v>1231</v>
      </c>
      <c r="Q7" s="39" t="s">
        <v>1232</v>
      </c>
      <c r="R7" s="39">
        <v>1.0</v>
      </c>
      <c r="S7" s="39">
        <v>13764.0</v>
      </c>
      <c r="T7" s="39">
        <v>18000.0</v>
      </c>
      <c r="U7" s="39">
        <v>0.0</v>
      </c>
      <c r="V7" s="39">
        <v>4236.0</v>
      </c>
      <c r="W7" s="39">
        <v>13764.0</v>
      </c>
      <c r="X7" s="39">
        <v>18000.0</v>
      </c>
      <c r="Y7" s="39">
        <v>0.0</v>
      </c>
      <c r="Z7" s="39">
        <v>0.0</v>
      </c>
      <c r="AA7" s="39">
        <v>0.0</v>
      </c>
      <c r="AB7" s="39">
        <v>0.0</v>
      </c>
      <c r="AC7" s="39">
        <v>0.0</v>
      </c>
      <c r="AD7" s="39">
        <v>0.0</v>
      </c>
      <c r="AE7" s="39">
        <v>0.0</v>
      </c>
      <c r="AF7" s="39">
        <v>0.0</v>
      </c>
      <c r="AG7" s="39">
        <v>0.0</v>
      </c>
      <c r="AH7" s="39">
        <v>0.0</v>
      </c>
      <c r="AI7" s="39">
        <v>0.0</v>
      </c>
      <c r="AJ7" s="39">
        <v>0.0</v>
      </c>
      <c r="AK7" s="39">
        <v>0.0</v>
      </c>
      <c r="AL7" s="39">
        <v>4.60723947935E11</v>
      </c>
      <c r="AM7" s="39" t="s">
        <v>1209</v>
      </c>
      <c r="AN7" s="42">
        <v>0.11</v>
      </c>
      <c r="AO7" s="43">
        <v>1124.0</v>
      </c>
      <c r="AP7" s="39">
        <v>0.0</v>
      </c>
      <c r="AQ7" s="39">
        <v>0.0</v>
      </c>
      <c r="AR7" s="39">
        <v>0.0</v>
      </c>
      <c r="AS7" s="39">
        <v>2780.0</v>
      </c>
      <c r="AT7" s="39">
        <v>1710.0</v>
      </c>
      <c r="AU7" s="39">
        <v>1070.0</v>
      </c>
      <c r="AV7" s="39">
        <v>0.0</v>
      </c>
      <c r="AW7" s="39">
        <v>0.0</v>
      </c>
      <c r="AX7" s="39">
        <v>0.0</v>
      </c>
      <c r="AY7" s="39">
        <v>0.0</v>
      </c>
      <c r="AZ7" s="39">
        <v>0.0</v>
      </c>
      <c r="BA7" s="39">
        <v>0.0</v>
      </c>
      <c r="BB7" s="39">
        <v>0.0</v>
      </c>
      <c r="BC7" s="39">
        <v>332.0</v>
      </c>
      <c r="BD7" s="39">
        <v>0.0</v>
      </c>
      <c r="BE7" s="39">
        <v>0.0</v>
      </c>
      <c r="BF7" s="39">
        <v>0.0</v>
      </c>
      <c r="BG7" s="39">
        <v>0.0</v>
      </c>
      <c r="BH7" s="39">
        <v>0.0</v>
      </c>
      <c r="BI7" s="44"/>
    </row>
    <row r="8">
      <c r="A8" s="38">
        <f t="shared" si="1"/>
        <v>45962</v>
      </c>
      <c r="B8" s="39">
        <v>7.0</v>
      </c>
      <c r="C8" s="39" t="s">
        <v>1233</v>
      </c>
      <c r="D8" s="39">
        <v>1.0</v>
      </c>
      <c r="E8" s="39">
        <v>2.647418877E9</v>
      </c>
      <c r="F8" s="39" t="s">
        <v>1204</v>
      </c>
      <c r="G8" s="39" t="s">
        <v>1234</v>
      </c>
      <c r="H8" s="39" t="s">
        <v>1235</v>
      </c>
      <c r="I8" s="40">
        <v>45962.0</v>
      </c>
      <c r="J8" s="40">
        <v>45964.0</v>
      </c>
      <c r="K8" s="40">
        <v>45965.0</v>
      </c>
      <c r="L8" s="41">
        <v>45973.0</v>
      </c>
      <c r="M8" s="41">
        <v>45973.0</v>
      </c>
      <c r="N8" s="41">
        <v>45975.0</v>
      </c>
      <c r="O8" s="39">
        <v>6.546161396E9</v>
      </c>
      <c r="P8" s="39" t="s">
        <v>1231</v>
      </c>
      <c r="Q8" s="39" t="s">
        <v>1236</v>
      </c>
      <c r="R8" s="39">
        <v>1.0</v>
      </c>
      <c r="S8" s="39">
        <v>13764.0</v>
      </c>
      <c r="T8" s="39">
        <v>18000.0</v>
      </c>
      <c r="U8" s="39">
        <v>0.0</v>
      </c>
      <c r="V8" s="39">
        <v>4236.0</v>
      </c>
      <c r="W8" s="39">
        <v>5420.0</v>
      </c>
      <c r="X8" s="39">
        <v>18000.0</v>
      </c>
      <c r="Y8" s="39">
        <v>0.0</v>
      </c>
      <c r="Z8" s="39">
        <v>0.0</v>
      </c>
      <c r="AA8" s="39">
        <v>0.0</v>
      </c>
      <c r="AB8" s="39">
        <v>0.0</v>
      </c>
      <c r="AC8" s="39">
        <v>0.0</v>
      </c>
      <c r="AD8" s="39">
        <v>0.0</v>
      </c>
      <c r="AE8" s="39">
        <v>0.0</v>
      </c>
      <c r="AF8" s="39">
        <v>0.0</v>
      </c>
      <c r="AG8" s="39">
        <v>0.0</v>
      </c>
      <c r="AH8" s="39">
        <v>0.0</v>
      </c>
      <c r="AI8" s="39">
        <v>0.0</v>
      </c>
      <c r="AJ8" s="39">
        <v>0.0</v>
      </c>
      <c r="AK8" s="39">
        <v>0.0</v>
      </c>
      <c r="AL8" s="39">
        <v>4.60723947946E11</v>
      </c>
      <c r="AM8" s="39" t="s">
        <v>1209</v>
      </c>
      <c r="AN8" s="42">
        <v>0.11</v>
      </c>
      <c r="AO8" s="43">
        <v>1124.0</v>
      </c>
      <c r="AP8" s="39">
        <v>0.0</v>
      </c>
      <c r="AQ8" s="39">
        <v>0.0</v>
      </c>
      <c r="AR8" s="39">
        <v>0.0</v>
      </c>
      <c r="AS8" s="39">
        <v>2780.0</v>
      </c>
      <c r="AT8" s="39">
        <v>1710.0</v>
      </c>
      <c r="AU8" s="39">
        <v>1070.0</v>
      </c>
      <c r="AV8" s="39">
        <v>0.0</v>
      </c>
      <c r="AW8" s="39">
        <v>0.0</v>
      </c>
      <c r="AX8" s="39">
        <v>0.0</v>
      </c>
      <c r="AY8" s="39">
        <v>0.0</v>
      </c>
      <c r="AZ8" s="39">
        <v>0.0</v>
      </c>
      <c r="BA8" s="39">
        <v>0.0</v>
      </c>
      <c r="BB8" s="39">
        <v>0.0</v>
      </c>
      <c r="BC8" s="39">
        <v>332.0</v>
      </c>
      <c r="BD8" s="39">
        <v>0.0</v>
      </c>
      <c r="BE8" s="39">
        <v>0.0</v>
      </c>
      <c r="BF8" s="39">
        <v>0.0</v>
      </c>
      <c r="BG8" s="39">
        <v>0.0</v>
      </c>
      <c r="BH8" s="39">
        <v>0.0</v>
      </c>
      <c r="BI8" s="44"/>
    </row>
    <row r="9">
      <c r="A9" s="38">
        <f t="shared" si="1"/>
        <v>45963</v>
      </c>
      <c r="B9" s="39">
        <v>8.0</v>
      </c>
      <c r="C9" s="39" t="s">
        <v>1237</v>
      </c>
      <c r="D9" s="39">
        <v>1.0</v>
      </c>
      <c r="E9" s="39">
        <v>2.647468827E9</v>
      </c>
      <c r="F9" s="39" t="s">
        <v>1204</v>
      </c>
      <c r="G9" s="39" t="s">
        <v>1238</v>
      </c>
      <c r="H9" s="39" t="s">
        <v>1239</v>
      </c>
      <c r="I9" s="40">
        <v>45963.0</v>
      </c>
      <c r="J9" s="40">
        <v>45964.0</v>
      </c>
      <c r="K9" s="40">
        <v>45965.0</v>
      </c>
      <c r="L9" s="45">
        <v>45966.0</v>
      </c>
      <c r="M9" s="45">
        <v>45966.0</v>
      </c>
      <c r="N9" s="45">
        <v>45968.0</v>
      </c>
      <c r="O9" s="39">
        <v>4.968370224E9</v>
      </c>
      <c r="P9" s="39" t="s">
        <v>1240</v>
      </c>
      <c r="Q9" s="39" t="s">
        <v>1241</v>
      </c>
      <c r="R9" s="39">
        <v>1.0</v>
      </c>
      <c r="S9" s="39">
        <v>12839.0</v>
      </c>
      <c r="T9" s="39">
        <v>20000.0</v>
      </c>
      <c r="U9" s="39">
        <v>0.0</v>
      </c>
      <c r="V9" s="39">
        <v>7161.0</v>
      </c>
      <c r="W9" s="39">
        <v>0.0</v>
      </c>
      <c r="X9" s="39">
        <v>20000.0</v>
      </c>
      <c r="Y9" s="39">
        <v>0.0</v>
      </c>
      <c r="Z9" s="39">
        <v>0.0</v>
      </c>
      <c r="AA9" s="39">
        <v>0.0</v>
      </c>
      <c r="AB9" s="39">
        <v>0.0</v>
      </c>
      <c r="AC9" s="39">
        <v>0.0</v>
      </c>
      <c r="AD9" s="39">
        <v>0.0</v>
      </c>
      <c r="AE9" s="39">
        <v>0.0</v>
      </c>
      <c r="AF9" s="39">
        <v>0.0</v>
      </c>
      <c r="AG9" s="39">
        <v>0.0</v>
      </c>
      <c r="AH9" s="39">
        <v>0.0</v>
      </c>
      <c r="AI9" s="39">
        <v>0.0</v>
      </c>
      <c r="AJ9" s="39">
        <v>0.0</v>
      </c>
      <c r="AK9" s="39">
        <v>0.0</v>
      </c>
      <c r="AL9" s="39">
        <v>4.6072394795E11</v>
      </c>
      <c r="AM9" s="39" t="s">
        <v>1209</v>
      </c>
      <c r="AN9" s="42">
        <v>0.13</v>
      </c>
      <c r="AO9" s="43">
        <v>1168.0</v>
      </c>
      <c r="AP9" s="39">
        <v>0.0</v>
      </c>
      <c r="AQ9" s="39">
        <v>0.0</v>
      </c>
      <c r="AR9" s="39">
        <v>0.0</v>
      </c>
      <c r="AS9" s="39">
        <v>3180.0</v>
      </c>
      <c r="AT9" s="39">
        <v>1390.0</v>
      </c>
      <c r="AU9" s="39">
        <v>1790.0</v>
      </c>
      <c r="AV9" s="39">
        <v>0.0</v>
      </c>
      <c r="AW9" s="39">
        <v>1000.0</v>
      </c>
      <c r="AX9" s="39">
        <v>0.0</v>
      </c>
      <c r="AY9" s="39">
        <v>0.0</v>
      </c>
      <c r="AZ9" s="39">
        <v>0.0</v>
      </c>
      <c r="BA9" s="39">
        <v>0.0</v>
      </c>
      <c r="BB9" s="39">
        <v>0.0</v>
      </c>
      <c r="BC9" s="39">
        <v>1813.0</v>
      </c>
      <c r="BD9" s="39">
        <v>0.0</v>
      </c>
      <c r="BE9" s="39">
        <v>0.0</v>
      </c>
      <c r="BF9" s="39">
        <v>0.0</v>
      </c>
      <c r="BG9" s="39">
        <v>0.0</v>
      </c>
      <c r="BH9" s="39">
        <v>0.0</v>
      </c>
      <c r="BI9" s="44"/>
    </row>
    <row r="10">
      <c r="A10" s="38">
        <f t="shared" si="1"/>
        <v>45963</v>
      </c>
      <c r="B10" s="39">
        <v>9.0</v>
      </c>
      <c r="C10" s="39" t="s">
        <v>1237</v>
      </c>
      <c r="D10" s="39">
        <v>2.0</v>
      </c>
      <c r="E10" s="39">
        <v>2.647468827E9</v>
      </c>
      <c r="F10" s="39" t="s">
        <v>1204</v>
      </c>
      <c r="G10" s="39" t="s">
        <v>1238</v>
      </c>
      <c r="H10" s="39" t="s">
        <v>1239</v>
      </c>
      <c r="I10" s="40">
        <v>45963.0</v>
      </c>
      <c r="J10" s="40">
        <v>45964.0</v>
      </c>
      <c r="K10" s="40">
        <v>45965.0</v>
      </c>
      <c r="L10" s="45">
        <v>45966.0</v>
      </c>
      <c r="M10" s="45">
        <v>45966.0</v>
      </c>
      <c r="N10" s="45">
        <v>45968.0</v>
      </c>
      <c r="O10" s="39">
        <v>4.968370224E9</v>
      </c>
      <c r="P10" s="39" t="s">
        <v>1240</v>
      </c>
      <c r="Q10" s="39" t="s">
        <v>1242</v>
      </c>
      <c r="R10" s="39">
        <v>1.0</v>
      </c>
      <c r="S10" s="39">
        <v>12839.0</v>
      </c>
      <c r="T10" s="39">
        <v>20000.0</v>
      </c>
      <c r="U10" s="39">
        <v>0.0</v>
      </c>
      <c r="V10" s="39">
        <v>7161.0</v>
      </c>
      <c r="W10" s="39">
        <v>0.0</v>
      </c>
      <c r="X10" s="39">
        <v>20000.0</v>
      </c>
      <c r="Y10" s="39">
        <v>0.0</v>
      </c>
      <c r="Z10" s="39">
        <v>0.0</v>
      </c>
      <c r="AA10" s="39">
        <v>0.0</v>
      </c>
      <c r="AB10" s="39">
        <v>0.0</v>
      </c>
      <c r="AC10" s="39">
        <v>0.0</v>
      </c>
      <c r="AD10" s="39">
        <v>0.0</v>
      </c>
      <c r="AE10" s="39">
        <v>0.0</v>
      </c>
      <c r="AF10" s="39">
        <v>0.0</v>
      </c>
      <c r="AG10" s="39">
        <v>0.0</v>
      </c>
      <c r="AH10" s="39">
        <v>0.0</v>
      </c>
      <c r="AI10" s="39">
        <v>0.0</v>
      </c>
      <c r="AJ10" s="39">
        <v>0.0</v>
      </c>
      <c r="AK10" s="39">
        <v>0.0</v>
      </c>
      <c r="AL10" s="39">
        <v>4.6072394795E11</v>
      </c>
      <c r="AM10" s="39" t="s">
        <v>1209</v>
      </c>
      <c r="AN10" s="42">
        <v>0.13</v>
      </c>
      <c r="AO10" s="43">
        <v>1168.0</v>
      </c>
      <c r="AP10" s="39">
        <v>0.0</v>
      </c>
      <c r="AQ10" s="39">
        <v>0.0</v>
      </c>
      <c r="AR10" s="39">
        <v>0.0</v>
      </c>
      <c r="AS10" s="39">
        <v>3180.0</v>
      </c>
      <c r="AT10" s="39">
        <v>1390.0</v>
      </c>
      <c r="AU10" s="39">
        <v>1790.0</v>
      </c>
      <c r="AV10" s="39">
        <v>0.0</v>
      </c>
      <c r="AW10" s="39">
        <v>1000.0</v>
      </c>
      <c r="AX10" s="39">
        <v>0.0</v>
      </c>
      <c r="AY10" s="39">
        <v>0.0</v>
      </c>
      <c r="AZ10" s="39">
        <v>0.0</v>
      </c>
      <c r="BA10" s="39">
        <v>0.0</v>
      </c>
      <c r="BB10" s="39">
        <v>0.0</v>
      </c>
      <c r="BC10" s="39">
        <v>1813.0</v>
      </c>
      <c r="BD10" s="39">
        <v>0.0</v>
      </c>
      <c r="BE10" s="39">
        <v>0.0</v>
      </c>
      <c r="BF10" s="39">
        <v>0.0</v>
      </c>
      <c r="BG10" s="39">
        <v>0.0</v>
      </c>
      <c r="BH10" s="39">
        <v>0.0</v>
      </c>
      <c r="BI10" s="44"/>
    </row>
    <row r="11">
      <c r="A11" s="38">
        <f t="shared" si="1"/>
        <v>45963</v>
      </c>
      <c r="B11" s="39">
        <v>10.0</v>
      </c>
      <c r="C11" s="39" t="s">
        <v>1243</v>
      </c>
      <c r="D11" s="39">
        <v>1.0</v>
      </c>
      <c r="E11" s="39">
        <v>2.647503535E9</v>
      </c>
      <c r="F11" s="39" t="s">
        <v>1204</v>
      </c>
      <c r="G11" s="39" t="s">
        <v>1244</v>
      </c>
      <c r="H11" s="39" t="s">
        <v>1245</v>
      </c>
      <c r="I11" s="40">
        <v>45963.0</v>
      </c>
      <c r="J11" s="40">
        <v>45964.0</v>
      </c>
      <c r="K11" s="40">
        <v>45965.0</v>
      </c>
      <c r="L11" s="41">
        <v>45973.0</v>
      </c>
      <c r="M11" s="41">
        <v>45973.0</v>
      </c>
      <c r="N11" s="41">
        <v>45975.0</v>
      </c>
      <c r="O11" s="39">
        <v>5.370879772E9</v>
      </c>
      <c r="P11" s="39" t="s">
        <v>1246</v>
      </c>
      <c r="Q11" s="39" t="s">
        <v>1247</v>
      </c>
      <c r="R11" s="39">
        <v>1.0</v>
      </c>
      <c r="S11" s="39">
        <v>24627.0</v>
      </c>
      <c r="T11" s="39">
        <v>33000.0</v>
      </c>
      <c r="U11" s="39">
        <v>0.0</v>
      </c>
      <c r="V11" s="39">
        <v>8373.0</v>
      </c>
      <c r="W11" s="39">
        <v>0.0</v>
      </c>
      <c r="X11" s="39">
        <v>33000.0</v>
      </c>
      <c r="Y11" s="39">
        <v>0.0</v>
      </c>
      <c r="Z11" s="39">
        <v>0.0</v>
      </c>
      <c r="AA11" s="39">
        <v>0.0</v>
      </c>
      <c r="AB11" s="39">
        <v>0.0</v>
      </c>
      <c r="AC11" s="39">
        <v>0.0</v>
      </c>
      <c r="AD11" s="39">
        <v>0.0</v>
      </c>
      <c r="AE11" s="39">
        <v>0.0</v>
      </c>
      <c r="AF11" s="39">
        <v>0.0</v>
      </c>
      <c r="AG11" s="39">
        <v>0.0</v>
      </c>
      <c r="AH11" s="39">
        <v>0.0</v>
      </c>
      <c r="AI11" s="39">
        <v>0.0</v>
      </c>
      <c r="AJ11" s="39">
        <v>0.0</v>
      </c>
      <c r="AK11" s="39">
        <v>0.0</v>
      </c>
      <c r="AL11" s="39">
        <v>4.60723947972E11</v>
      </c>
      <c r="AM11" s="39" t="s">
        <v>1209</v>
      </c>
      <c r="AN11" s="42">
        <v>0.09</v>
      </c>
      <c r="AO11" s="43">
        <v>0.0</v>
      </c>
      <c r="AP11" s="39">
        <v>0.0</v>
      </c>
      <c r="AQ11" s="39">
        <v>0.0</v>
      </c>
      <c r="AR11" s="39">
        <v>0.0</v>
      </c>
      <c r="AS11" s="39">
        <v>6624.0</v>
      </c>
      <c r="AT11" s="39">
        <v>3060.0</v>
      </c>
      <c r="AU11" s="39">
        <v>3564.0</v>
      </c>
      <c r="AV11" s="39">
        <v>406.0</v>
      </c>
      <c r="AW11" s="39">
        <v>0.0</v>
      </c>
      <c r="AX11" s="39">
        <v>0.0</v>
      </c>
      <c r="AY11" s="39">
        <v>0.0</v>
      </c>
      <c r="AZ11" s="39">
        <v>0.0</v>
      </c>
      <c r="BA11" s="39">
        <v>0.0</v>
      </c>
      <c r="BB11" s="39">
        <v>0.0</v>
      </c>
      <c r="BC11" s="39">
        <v>1749.0</v>
      </c>
      <c r="BD11" s="39">
        <v>0.0</v>
      </c>
      <c r="BE11" s="39">
        <v>0.0</v>
      </c>
      <c r="BF11" s="39">
        <v>0.0</v>
      </c>
      <c r="BG11" s="39">
        <v>0.0</v>
      </c>
      <c r="BH11" s="39">
        <v>0.0</v>
      </c>
      <c r="BI11" s="44"/>
    </row>
    <row r="12">
      <c r="A12" s="38">
        <f t="shared" si="1"/>
        <v>45963</v>
      </c>
      <c r="B12" s="39">
        <v>11.0</v>
      </c>
      <c r="C12" s="39" t="s">
        <v>1248</v>
      </c>
      <c r="D12" s="39">
        <v>1.0</v>
      </c>
      <c r="E12" s="39">
        <v>2.647571791E9</v>
      </c>
      <c r="F12" s="39" t="s">
        <v>1204</v>
      </c>
      <c r="G12" s="39" t="s">
        <v>1249</v>
      </c>
      <c r="H12" s="39" t="s">
        <v>1250</v>
      </c>
      <c r="I12" s="40">
        <v>45963.0</v>
      </c>
      <c r="J12" s="40">
        <v>45964.0</v>
      </c>
      <c r="K12" s="40">
        <v>45965.0</v>
      </c>
      <c r="L12" s="41">
        <v>45973.0</v>
      </c>
      <c r="M12" s="41">
        <v>45973.0</v>
      </c>
      <c r="N12" s="41">
        <v>45975.0</v>
      </c>
      <c r="O12" s="39">
        <v>6.342749718E9</v>
      </c>
      <c r="P12" s="39" t="s">
        <v>1213</v>
      </c>
      <c r="Q12" s="39" t="s">
        <v>1251</v>
      </c>
      <c r="R12" s="39">
        <v>1.0</v>
      </c>
      <c r="S12" s="39">
        <v>22004.0</v>
      </c>
      <c r="T12" s="39">
        <v>59000.0</v>
      </c>
      <c r="U12" s="39">
        <v>0.0</v>
      </c>
      <c r="V12" s="39">
        <v>36996.0</v>
      </c>
      <c r="W12" s="39">
        <v>22004.0</v>
      </c>
      <c r="X12" s="39">
        <v>59000.0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0.0</v>
      </c>
      <c r="AK12" s="39">
        <v>0.0</v>
      </c>
      <c r="AL12" s="39">
        <v>4.60723947994E11</v>
      </c>
      <c r="AM12" s="39" t="s">
        <v>1209</v>
      </c>
      <c r="AN12" s="42">
        <v>0.09</v>
      </c>
      <c r="AO12" s="43">
        <v>2038.0</v>
      </c>
      <c r="AP12" s="39">
        <v>0.0</v>
      </c>
      <c r="AQ12" s="39">
        <v>0.0</v>
      </c>
      <c r="AR12" s="39">
        <v>0.0</v>
      </c>
      <c r="AS12" s="39">
        <v>33330.0</v>
      </c>
      <c r="AT12" s="39">
        <v>29240.0</v>
      </c>
      <c r="AU12" s="39">
        <v>4090.0</v>
      </c>
      <c r="AV12" s="39">
        <v>0.0</v>
      </c>
      <c r="AW12" s="39">
        <v>0.0</v>
      </c>
      <c r="AX12" s="39">
        <v>0.0</v>
      </c>
      <c r="AY12" s="39">
        <v>0.0</v>
      </c>
      <c r="AZ12" s="39">
        <v>0.0</v>
      </c>
      <c r="BA12" s="39">
        <v>0.0</v>
      </c>
      <c r="BB12" s="39">
        <v>0.0</v>
      </c>
      <c r="BC12" s="39">
        <v>1628.0</v>
      </c>
      <c r="BD12" s="39">
        <v>0.0</v>
      </c>
      <c r="BE12" s="39">
        <v>0.0</v>
      </c>
      <c r="BF12" s="39">
        <v>0.0</v>
      </c>
      <c r="BG12" s="39">
        <v>0.0</v>
      </c>
      <c r="BH12" s="39">
        <v>0.0</v>
      </c>
      <c r="BI12" s="44"/>
    </row>
    <row r="13">
      <c r="A13" s="38">
        <f t="shared" si="1"/>
        <v>45963</v>
      </c>
      <c r="B13" s="39">
        <v>12.0</v>
      </c>
      <c r="C13" s="39" t="s">
        <v>1252</v>
      </c>
      <c r="D13" s="39">
        <v>1.0</v>
      </c>
      <c r="E13" s="39">
        <v>2.647599688E9</v>
      </c>
      <c r="F13" s="39" t="s">
        <v>1204</v>
      </c>
      <c r="G13" s="39" t="s">
        <v>1253</v>
      </c>
      <c r="H13" s="39" t="s">
        <v>1254</v>
      </c>
      <c r="I13" s="40">
        <v>45963.0</v>
      </c>
      <c r="J13" s="40">
        <v>45964.0</v>
      </c>
      <c r="K13" s="40">
        <v>45965.0</v>
      </c>
      <c r="L13" s="45">
        <v>45967.0</v>
      </c>
      <c r="M13" s="45">
        <v>45967.0</v>
      </c>
      <c r="N13" s="41">
        <v>45971.0</v>
      </c>
      <c r="O13" s="39">
        <v>6.546161396E9</v>
      </c>
      <c r="P13" s="39" t="s">
        <v>1231</v>
      </c>
      <c r="Q13" s="39" t="s">
        <v>1236</v>
      </c>
      <c r="R13" s="39">
        <v>1.0</v>
      </c>
      <c r="S13" s="39">
        <v>12937.0</v>
      </c>
      <c r="T13" s="39">
        <v>18000.0</v>
      </c>
      <c r="U13" s="39">
        <v>0.0</v>
      </c>
      <c r="V13" s="39">
        <v>5063.0</v>
      </c>
      <c r="W13" s="39">
        <v>12937.0</v>
      </c>
      <c r="X13" s="39">
        <v>18000.0</v>
      </c>
      <c r="Y13" s="39">
        <v>0.0</v>
      </c>
      <c r="Z13" s="39">
        <v>0.0</v>
      </c>
      <c r="AA13" s="39">
        <v>0.0</v>
      </c>
      <c r="AB13" s="39">
        <v>0.0</v>
      </c>
      <c r="AC13" s="39">
        <v>0.0</v>
      </c>
      <c r="AD13" s="39">
        <v>0.0</v>
      </c>
      <c r="AE13" s="39">
        <v>0.0</v>
      </c>
      <c r="AF13" s="39">
        <v>0.0</v>
      </c>
      <c r="AG13" s="39">
        <v>0.0</v>
      </c>
      <c r="AH13" s="39">
        <v>0.0</v>
      </c>
      <c r="AI13" s="39">
        <v>0.0</v>
      </c>
      <c r="AJ13" s="39">
        <v>0.0</v>
      </c>
      <c r="AK13" s="39">
        <v>0.0</v>
      </c>
      <c r="AL13" s="39">
        <v>4.60723948005E11</v>
      </c>
      <c r="AM13" s="39" t="s">
        <v>1209</v>
      </c>
      <c r="AN13" s="42">
        <v>0.11</v>
      </c>
      <c r="AO13" s="43">
        <v>1124.0</v>
      </c>
      <c r="AP13" s="39">
        <v>0.0</v>
      </c>
      <c r="AQ13" s="39">
        <v>0.0</v>
      </c>
      <c r="AR13" s="39">
        <v>0.0</v>
      </c>
      <c r="AS13" s="39">
        <v>2780.0</v>
      </c>
      <c r="AT13" s="39">
        <v>1710.0</v>
      </c>
      <c r="AU13" s="39">
        <v>1070.0</v>
      </c>
      <c r="AV13" s="39">
        <v>0.0</v>
      </c>
      <c r="AW13" s="39">
        <v>0.0</v>
      </c>
      <c r="AX13" s="39">
        <v>0.0</v>
      </c>
      <c r="AY13" s="39">
        <v>0.0</v>
      </c>
      <c r="AZ13" s="39">
        <v>0.0</v>
      </c>
      <c r="BA13" s="39">
        <v>0.0</v>
      </c>
      <c r="BB13" s="39">
        <v>0.0</v>
      </c>
      <c r="BC13" s="39">
        <v>1159.0</v>
      </c>
      <c r="BD13" s="39">
        <v>0.0</v>
      </c>
      <c r="BE13" s="39">
        <v>0.0</v>
      </c>
      <c r="BF13" s="39">
        <v>0.0</v>
      </c>
      <c r="BG13" s="39">
        <v>0.0</v>
      </c>
      <c r="BH13" s="39">
        <v>0.0</v>
      </c>
      <c r="BI13" s="44"/>
    </row>
    <row r="14">
      <c r="A14" s="38">
        <f t="shared" si="1"/>
        <v>45963</v>
      </c>
      <c r="B14" s="39">
        <v>13.0</v>
      </c>
      <c r="C14" s="39" t="s">
        <v>1255</v>
      </c>
      <c r="D14" s="39">
        <v>1.0</v>
      </c>
      <c r="E14" s="39">
        <v>2.647631624E9</v>
      </c>
      <c r="F14" s="39" t="s">
        <v>1204</v>
      </c>
      <c r="G14" s="39" t="s">
        <v>1256</v>
      </c>
      <c r="H14" s="39" t="s">
        <v>1257</v>
      </c>
      <c r="I14" s="40">
        <v>45963.0</v>
      </c>
      <c r="J14" s="40">
        <v>45964.0</v>
      </c>
      <c r="K14" s="40">
        <v>45965.0</v>
      </c>
      <c r="L14" s="45">
        <v>45966.0</v>
      </c>
      <c r="M14" s="45">
        <v>45966.0</v>
      </c>
      <c r="N14" s="45">
        <v>45968.0</v>
      </c>
      <c r="O14" s="39">
        <v>8.715578135E9</v>
      </c>
      <c r="P14" s="39" t="s">
        <v>1258</v>
      </c>
      <c r="Q14" s="39" t="s">
        <v>1259</v>
      </c>
      <c r="R14" s="39">
        <v>1.0</v>
      </c>
      <c r="S14" s="39">
        <v>89378.0</v>
      </c>
      <c r="T14" s="39">
        <v>109000.0</v>
      </c>
      <c r="U14" s="39">
        <v>0.0</v>
      </c>
      <c r="V14" s="39">
        <v>19622.0</v>
      </c>
      <c r="W14" s="39">
        <v>0.0</v>
      </c>
      <c r="X14" s="39">
        <v>109000.0</v>
      </c>
      <c r="Y14" s="39">
        <v>0.0</v>
      </c>
      <c r="Z14" s="39">
        <v>0.0</v>
      </c>
      <c r="AA14" s="39">
        <v>0.0</v>
      </c>
      <c r="AB14" s="39">
        <v>0.0</v>
      </c>
      <c r="AC14" s="39">
        <v>0.0</v>
      </c>
      <c r="AD14" s="39">
        <v>0.0</v>
      </c>
      <c r="AE14" s="39">
        <v>0.0</v>
      </c>
      <c r="AF14" s="39">
        <v>0.0</v>
      </c>
      <c r="AG14" s="39">
        <v>0.0</v>
      </c>
      <c r="AH14" s="39">
        <v>0.0</v>
      </c>
      <c r="AI14" s="39">
        <v>0.0</v>
      </c>
      <c r="AJ14" s="39">
        <v>0.0</v>
      </c>
      <c r="AK14" s="39">
        <v>0.0</v>
      </c>
      <c r="AL14" s="39">
        <v>5.30619256551E11</v>
      </c>
      <c r="AM14" s="39" t="s">
        <v>1209</v>
      </c>
      <c r="AN14" s="42">
        <v>0.09</v>
      </c>
      <c r="AO14" s="43">
        <v>4722.0</v>
      </c>
      <c r="AP14" s="39">
        <v>0.0</v>
      </c>
      <c r="AQ14" s="39">
        <v>0.0</v>
      </c>
      <c r="AR14" s="39">
        <v>0.0</v>
      </c>
      <c r="AS14" s="39">
        <v>14900.0</v>
      </c>
      <c r="AT14" s="39">
        <v>8540.0</v>
      </c>
      <c r="AU14" s="39">
        <v>6360.0</v>
      </c>
      <c r="AV14" s="39">
        <v>0.0</v>
      </c>
      <c r="AW14" s="39">
        <v>0.0</v>
      </c>
      <c r="AX14" s="39">
        <v>0.0</v>
      </c>
      <c r="AY14" s="39">
        <v>0.0</v>
      </c>
      <c r="AZ14" s="39">
        <v>0.0</v>
      </c>
      <c r="BA14" s="39">
        <v>0.0</v>
      </c>
      <c r="BB14" s="39">
        <v>0.0</v>
      </c>
      <c r="BC14" s="39">
        <v>0.0</v>
      </c>
      <c r="BD14" s="39">
        <v>0.0</v>
      </c>
      <c r="BE14" s="39">
        <v>0.0</v>
      </c>
      <c r="BF14" s="39">
        <v>0.0</v>
      </c>
      <c r="BG14" s="39">
        <v>0.0</v>
      </c>
      <c r="BH14" s="39">
        <v>0.0</v>
      </c>
      <c r="BI14" s="44"/>
    </row>
    <row r="15">
      <c r="A15" s="38">
        <f t="shared" si="1"/>
        <v>45963</v>
      </c>
      <c r="B15" s="39">
        <v>14.0</v>
      </c>
      <c r="C15" s="39" t="s">
        <v>1260</v>
      </c>
      <c r="D15" s="39">
        <v>1.0</v>
      </c>
      <c r="E15" s="39">
        <v>2.647653487E9</v>
      </c>
      <c r="F15" s="39" t="s">
        <v>1204</v>
      </c>
      <c r="G15" s="39" t="s">
        <v>1261</v>
      </c>
      <c r="H15" s="39" t="s">
        <v>1262</v>
      </c>
      <c r="I15" s="40">
        <v>45963.0</v>
      </c>
      <c r="J15" s="40">
        <v>45964.0</v>
      </c>
      <c r="K15" s="40">
        <v>45965.0</v>
      </c>
      <c r="L15" s="45">
        <v>45965.0</v>
      </c>
      <c r="M15" s="45">
        <v>45965.0</v>
      </c>
      <c r="N15" s="45">
        <v>45967.0</v>
      </c>
      <c r="O15" s="39">
        <v>7.175614365E9</v>
      </c>
      <c r="P15" s="39" t="s">
        <v>1263</v>
      </c>
      <c r="Q15" s="39" t="s">
        <v>1219</v>
      </c>
      <c r="R15" s="39">
        <v>1.0</v>
      </c>
      <c r="S15" s="39">
        <v>11783.0</v>
      </c>
      <c r="T15" s="39">
        <v>15000.0</v>
      </c>
      <c r="U15" s="39">
        <v>0.0</v>
      </c>
      <c r="V15" s="39">
        <v>3217.0</v>
      </c>
      <c r="W15" s="39">
        <v>0.0</v>
      </c>
      <c r="X15" s="39">
        <v>15000.0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4.60723948016E11</v>
      </c>
      <c r="AM15" s="39" t="s">
        <v>1209</v>
      </c>
      <c r="AN15" s="42">
        <v>0.09</v>
      </c>
      <c r="AO15" s="39">
        <v>870.0</v>
      </c>
      <c r="AP15" s="39">
        <v>0.0</v>
      </c>
      <c r="AQ15" s="39">
        <v>0.0</v>
      </c>
      <c r="AR15" s="39">
        <v>0.0</v>
      </c>
      <c r="AS15" s="39">
        <v>1500.0</v>
      </c>
      <c r="AT15" s="39">
        <v>900.0</v>
      </c>
      <c r="AU15" s="39">
        <v>600.0</v>
      </c>
      <c r="AV15" s="39">
        <v>0.0</v>
      </c>
      <c r="AW15" s="39">
        <v>0.0</v>
      </c>
      <c r="AX15" s="39">
        <v>0.0</v>
      </c>
      <c r="AY15" s="39">
        <v>0.0</v>
      </c>
      <c r="AZ15" s="39">
        <v>0.0</v>
      </c>
      <c r="BA15" s="39">
        <v>0.0</v>
      </c>
      <c r="BB15" s="39">
        <v>0.0</v>
      </c>
      <c r="BC15" s="39">
        <v>847.0</v>
      </c>
      <c r="BD15" s="39">
        <v>0.0</v>
      </c>
      <c r="BE15" s="39">
        <v>0.0</v>
      </c>
      <c r="BF15" s="39">
        <v>0.0</v>
      </c>
      <c r="BG15" s="39">
        <v>0.0</v>
      </c>
      <c r="BH15" s="39">
        <v>0.0</v>
      </c>
      <c r="BI15" s="44"/>
    </row>
    <row r="16">
      <c r="A16" s="38">
        <f t="shared" si="1"/>
        <v>45963</v>
      </c>
      <c r="B16" s="39">
        <v>15.0</v>
      </c>
      <c r="C16" s="39" t="s">
        <v>1264</v>
      </c>
      <c r="D16" s="39">
        <v>1.0</v>
      </c>
      <c r="E16" s="39">
        <v>2.647672821E9</v>
      </c>
      <c r="F16" s="39" t="s">
        <v>1204</v>
      </c>
      <c r="G16" s="39" t="s">
        <v>1265</v>
      </c>
      <c r="H16" s="39" t="s">
        <v>1266</v>
      </c>
      <c r="I16" s="40">
        <v>45963.0</v>
      </c>
      <c r="J16" s="40">
        <v>45964.0</v>
      </c>
      <c r="K16" s="40">
        <v>45965.0</v>
      </c>
      <c r="L16" s="41">
        <v>45973.0</v>
      </c>
      <c r="M16" s="41">
        <v>45973.0</v>
      </c>
      <c r="N16" s="41">
        <v>45975.0</v>
      </c>
      <c r="O16" s="39">
        <v>6.422434702E9</v>
      </c>
      <c r="P16" s="39" t="s">
        <v>1223</v>
      </c>
      <c r="Q16" s="39" t="s">
        <v>1267</v>
      </c>
      <c r="R16" s="39">
        <v>3.0</v>
      </c>
      <c r="S16" s="39">
        <v>45137.0</v>
      </c>
      <c r="T16" s="39">
        <v>59700.0</v>
      </c>
      <c r="U16" s="39">
        <v>0.0</v>
      </c>
      <c r="V16" s="39">
        <v>14563.0</v>
      </c>
      <c r="W16" s="39">
        <v>0.0</v>
      </c>
      <c r="X16" s="39">
        <v>59700.0</v>
      </c>
      <c r="Y16" s="39">
        <v>0.0</v>
      </c>
      <c r="Z16" s="39">
        <v>0.0</v>
      </c>
      <c r="AA16" s="39">
        <v>0.0</v>
      </c>
      <c r="AB16" s="39">
        <v>0.0</v>
      </c>
      <c r="AC16" s="39">
        <v>0.0</v>
      </c>
      <c r="AD16" s="39">
        <v>0.0</v>
      </c>
      <c r="AE16" s="39">
        <v>0.0</v>
      </c>
      <c r="AF16" s="39">
        <v>0.0</v>
      </c>
      <c r="AG16" s="39">
        <v>0.0</v>
      </c>
      <c r="AH16" s="39">
        <v>0.0</v>
      </c>
      <c r="AI16" s="39">
        <v>0.0</v>
      </c>
      <c r="AJ16" s="39">
        <v>0.0</v>
      </c>
      <c r="AK16" s="39">
        <v>0.0</v>
      </c>
      <c r="AL16" s="39">
        <v>4.6072394802E11</v>
      </c>
      <c r="AM16" s="39" t="s">
        <v>1209</v>
      </c>
      <c r="AN16" s="42">
        <v>0.11</v>
      </c>
      <c r="AO16" s="43">
        <v>2263.0</v>
      </c>
      <c r="AP16" s="39">
        <v>0.0</v>
      </c>
      <c r="AQ16" s="39">
        <v>0.0</v>
      </c>
      <c r="AR16" s="39">
        <v>0.0</v>
      </c>
      <c r="AS16" s="39">
        <v>8970.0</v>
      </c>
      <c r="AT16" s="39">
        <v>3590.0</v>
      </c>
      <c r="AU16" s="39">
        <v>5380.0</v>
      </c>
      <c r="AV16" s="39">
        <v>0.0</v>
      </c>
      <c r="AW16" s="39">
        <v>3000.0</v>
      </c>
      <c r="AX16" s="39">
        <v>0.0</v>
      </c>
      <c r="AY16" s="39">
        <v>0.0</v>
      </c>
      <c r="AZ16" s="39">
        <v>0.0</v>
      </c>
      <c r="BA16" s="39">
        <v>0.0</v>
      </c>
      <c r="BB16" s="39">
        <v>0.0</v>
      </c>
      <c r="BC16" s="39">
        <v>330.0</v>
      </c>
      <c r="BD16" s="39">
        <v>0.0</v>
      </c>
      <c r="BE16" s="39">
        <v>0.0</v>
      </c>
      <c r="BF16" s="39">
        <v>0.0</v>
      </c>
      <c r="BG16" s="39">
        <v>0.0</v>
      </c>
      <c r="BH16" s="39">
        <v>0.0</v>
      </c>
      <c r="BI16" s="44"/>
    </row>
    <row r="17">
      <c r="A17" s="38">
        <f t="shared" si="1"/>
        <v>45963</v>
      </c>
      <c r="B17" s="39">
        <v>16.0</v>
      </c>
      <c r="C17" s="39" t="s">
        <v>1268</v>
      </c>
      <c r="D17" s="39">
        <v>1.0</v>
      </c>
      <c r="E17" s="39">
        <v>2.64770005E9</v>
      </c>
      <c r="F17" s="39" t="s">
        <v>1204</v>
      </c>
      <c r="G17" s="39" t="s">
        <v>1269</v>
      </c>
      <c r="H17" s="39" t="s">
        <v>1270</v>
      </c>
      <c r="I17" s="40">
        <v>45963.0</v>
      </c>
      <c r="J17" s="40">
        <v>45964.0</v>
      </c>
      <c r="K17" s="40">
        <v>45965.0</v>
      </c>
      <c r="L17" s="45">
        <v>45965.0</v>
      </c>
      <c r="M17" s="45">
        <v>45965.0</v>
      </c>
      <c r="N17" s="45">
        <v>45967.0</v>
      </c>
      <c r="O17" s="39">
        <v>5.370879772E9</v>
      </c>
      <c r="P17" s="39" t="s">
        <v>1246</v>
      </c>
      <c r="Q17" s="39" t="s">
        <v>1271</v>
      </c>
      <c r="R17" s="39">
        <v>1.0</v>
      </c>
      <c r="S17" s="39">
        <v>22737.0</v>
      </c>
      <c r="T17" s="39">
        <v>33000.0</v>
      </c>
      <c r="U17" s="39">
        <v>0.0</v>
      </c>
      <c r="V17" s="39">
        <v>10263.0</v>
      </c>
      <c r="W17" s="39">
        <v>0.0</v>
      </c>
      <c r="X17" s="39">
        <v>33000.0</v>
      </c>
      <c r="Y17" s="39">
        <v>0.0</v>
      </c>
      <c r="Z17" s="39">
        <v>0.0</v>
      </c>
      <c r="AA17" s="39">
        <v>0.0</v>
      </c>
      <c r="AB17" s="39">
        <v>0.0</v>
      </c>
      <c r="AC17" s="39">
        <v>0.0</v>
      </c>
      <c r="AD17" s="39">
        <v>0.0</v>
      </c>
      <c r="AE17" s="39">
        <v>0.0</v>
      </c>
      <c r="AF17" s="39">
        <v>0.0</v>
      </c>
      <c r="AG17" s="39">
        <v>0.0</v>
      </c>
      <c r="AH17" s="39">
        <v>0.0</v>
      </c>
      <c r="AI17" s="39">
        <v>0.0</v>
      </c>
      <c r="AJ17" s="39">
        <v>0.0</v>
      </c>
      <c r="AK17" s="39">
        <v>0.0</v>
      </c>
      <c r="AL17" s="39">
        <v>4.60723948031E11</v>
      </c>
      <c r="AM17" s="39" t="s">
        <v>1209</v>
      </c>
      <c r="AN17" s="42">
        <v>0.09</v>
      </c>
      <c r="AO17" s="43">
        <v>0.0</v>
      </c>
      <c r="AP17" s="39">
        <v>0.0</v>
      </c>
      <c r="AQ17" s="39">
        <v>0.0</v>
      </c>
      <c r="AR17" s="39">
        <v>0.0</v>
      </c>
      <c r="AS17" s="39">
        <v>8624.0</v>
      </c>
      <c r="AT17" s="39">
        <v>5060.0</v>
      </c>
      <c r="AU17" s="39">
        <v>3564.0</v>
      </c>
      <c r="AV17" s="39">
        <v>406.0</v>
      </c>
      <c r="AW17" s="39">
        <v>0.0</v>
      </c>
      <c r="AX17" s="39">
        <v>0.0</v>
      </c>
      <c r="AY17" s="39">
        <v>0.0</v>
      </c>
      <c r="AZ17" s="39">
        <v>0.0</v>
      </c>
      <c r="BA17" s="39">
        <v>0.0</v>
      </c>
      <c r="BB17" s="39">
        <v>0.0</v>
      </c>
      <c r="BC17" s="39">
        <v>1639.0</v>
      </c>
      <c r="BD17" s="39">
        <v>0.0</v>
      </c>
      <c r="BE17" s="39">
        <v>0.0</v>
      </c>
      <c r="BF17" s="39">
        <v>0.0</v>
      </c>
      <c r="BG17" s="39">
        <v>0.0</v>
      </c>
      <c r="BH17" s="39">
        <v>0.0</v>
      </c>
      <c r="BI17" s="44"/>
    </row>
    <row r="18">
      <c r="A18" s="38">
        <f t="shared" si="1"/>
        <v>45963</v>
      </c>
      <c r="B18" s="39">
        <v>17.0</v>
      </c>
      <c r="C18" s="39" t="s">
        <v>1272</v>
      </c>
      <c r="D18" s="39">
        <v>1.0</v>
      </c>
      <c r="E18" s="39">
        <v>2.647714581E9</v>
      </c>
      <c r="F18" s="39" t="s">
        <v>1204</v>
      </c>
      <c r="G18" s="39" t="s">
        <v>1273</v>
      </c>
      <c r="H18" s="39" t="s">
        <v>1274</v>
      </c>
      <c r="I18" s="40">
        <v>45963.0</v>
      </c>
      <c r="J18" s="40">
        <v>45964.0</v>
      </c>
      <c r="K18" s="40">
        <v>45965.0</v>
      </c>
      <c r="L18" s="45">
        <v>45966.0</v>
      </c>
      <c r="M18" s="45">
        <v>45966.0</v>
      </c>
      <c r="N18" s="45">
        <v>45968.0</v>
      </c>
      <c r="O18" s="39">
        <v>7.902148268E9</v>
      </c>
      <c r="P18" s="39" t="s">
        <v>1275</v>
      </c>
      <c r="Q18" s="39" t="s">
        <v>1276</v>
      </c>
      <c r="R18" s="39">
        <v>1.0</v>
      </c>
      <c r="S18" s="39">
        <v>19343.0</v>
      </c>
      <c r="T18" s="39">
        <v>25900.0</v>
      </c>
      <c r="U18" s="39">
        <v>0.0</v>
      </c>
      <c r="V18" s="39">
        <v>6557.0</v>
      </c>
      <c r="W18" s="39">
        <v>19343.0</v>
      </c>
      <c r="X18" s="39">
        <v>25900.0</v>
      </c>
      <c r="Y18" s="39">
        <v>0.0</v>
      </c>
      <c r="Z18" s="39">
        <v>0.0</v>
      </c>
      <c r="AA18" s="39">
        <v>0.0</v>
      </c>
      <c r="AB18" s="39">
        <v>0.0</v>
      </c>
      <c r="AC18" s="39">
        <v>0.0</v>
      </c>
      <c r="AD18" s="39">
        <v>0.0</v>
      </c>
      <c r="AE18" s="39">
        <v>0.0</v>
      </c>
      <c r="AF18" s="39">
        <v>0.0</v>
      </c>
      <c r="AG18" s="39">
        <v>0.0</v>
      </c>
      <c r="AH18" s="39">
        <v>0.0</v>
      </c>
      <c r="AI18" s="39">
        <v>0.0</v>
      </c>
      <c r="AJ18" s="39">
        <v>0.0</v>
      </c>
      <c r="AK18" s="39">
        <v>0.0</v>
      </c>
      <c r="AL18" s="39">
        <v>4.60723948053E11</v>
      </c>
      <c r="AM18" s="39" t="s">
        <v>1209</v>
      </c>
      <c r="AN18" s="42">
        <v>0.09</v>
      </c>
      <c r="AO18" s="43">
        <v>0.0</v>
      </c>
      <c r="AP18" s="39">
        <v>0.0</v>
      </c>
      <c r="AQ18" s="39">
        <v>0.0</v>
      </c>
      <c r="AR18" s="39">
        <v>0.0</v>
      </c>
      <c r="AS18" s="39">
        <v>6357.0</v>
      </c>
      <c r="AT18" s="39">
        <v>3560.0</v>
      </c>
      <c r="AU18" s="39">
        <v>2797.0</v>
      </c>
      <c r="AV18" s="39">
        <v>233.0</v>
      </c>
      <c r="AW18" s="39">
        <v>0.0</v>
      </c>
      <c r="AX18" s="39">
        <v>0.0</v>
      </c>
      <c r="AY18" s="39">
        <v>0.0</v>
      </c>
      <c r="AZ18" s="39">
        <v>0.0</v>
      </c>
      <c r="BA18" s="39">
        <v>0.0</v>
      </c>
      <c r="BB18" s="39">
        <v>0.0</v>
      </c>
      <c r="BC18" s="39">
        <v>200.0</v>
      </c>
      <c r="BD18" s="39">
        <v>0.0</v>
      </c>
      <c r="BE18" s="39">
        <v>0.0</v>
      </c>
      <c r="BF18" s="39">
        <v>0.0</v>
      </c>
      <c r="BG18" s="39">
        <v>0.0</v>
      </c>
      <c r="BH18" s="39">
        <v>0.0</v>
      </c>
      <c r="BI18" s="44"/>
    </row>
    <row r="19">
      <c r="A19" s="38">
        <f t="shared" si="1"/>
        <v>45963</v>
      </c>
      <c r="B19" s="39">
        <v>18.0</v>
      </c>
      <c r="C19" s="39" t="s">
        <v>1277</v>
      </c>
      <c r="D19" s="39">
        <v>1.0</v>
      </c>
      <c r="E19" s="39">
        <v>2.647760601E9</v>
      </c>
      <c r="F19" s="39" t="s">
        <v>1204</v>
      </c>
      <c r="G19" s="39" t="s">
        <v>1278</v>
      </c>
      <c r="H19" s="39" t="s">
        <v>1279</v>
      </c>
      <c r="I19" s="40">
        <v>45963.0</v>
      </c>
      <c r="J19" s="40">
        <v>45964.0</v>
      </c>
      <c r="K19" s="40">
        <v>45965.0</v>
      </c>
      <c r="L19" s="45">
        <v>45969.0</v>
      </c>
      <c r="M19" s="45">
        <v>45969.0</v>
      </c>
      <c r="N19" s="41">
        <v>45972.0</v>
      </c>
      <c r="O19" s="39">
        <v>6.342749718E9</v>
      </c>
      <c r="P19" s="39" t="s">
        <v>1213</v>
      </c>
      <c r="Q19" s="39" t="s">
        <v>1214</v>
      </c>
      <c r="R19" s="39">
        <v>1.0</v>
      </c>
      <c r="S19" s="39">
        <v>23894.0</v>
      </c>
      <c r="T19" s="39">
        <v>59000.0</v>
      </c>
      <c r="U19" s="39">
        <v>0.0</v>
      </c>
      <c r="V19" s="39">
        <v>35106.0</v>
      </c>
      <c r="W19" s="39">
        <v>23894.0</v>
      </c>
      <c r="X19" s="39">
        <v>59000.0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0.0</v>
      </c>
      <c r="AE19" s="39">
        <v>0.0</v>
      </c>
      <c r="AF19" s="39">
        <v>0.0</v>
      </c>
      <c r="AG19" s="39">
        <v>0.0</v>
      </c>
      <c r="AH19" s="39">
        <v>0.0</v>
      </c>
      <c r="AI19" s="39">
        <v>0.0</v>
      </c>
      <c r="AJ19" s="39">
        <v>0.0</v>
      </c>
      <c r="AK19" s="39">
        <v>0.0</v>
      </c>
      <c r="AL19" s="39">
        <v>4.60723948064E11</v>
      </c>
      <c r="AM19" s="39" t="s">
        <v>1209</v>
      </c>
      <c r="AN19" s="42">
        <v>0.09</v>
      </c>
      <c r="AO19" s="43">
        <v>2038.0</v>
      </c>
      <c r="AP19" s="39">
        <v>0.0</v>
      </c>
      <c r="AQ19" s="39">
        <v>0.0</v>
      </c>
      <c r="AR19" s="39">
        <v>0.0</v>
      </c>
      <c r="AS19" s="39">
        <v>31330.0</v>
      </c>
      <c r="AT19" s="39">
        <v>27240.0</v>
      </c>
      <c r="AU19" s="39">
        <v>4090.0</v>
      </c>
      <c r="AV19" s="39">
        <v>0.0</v>
      </c>
      <c r="AW19" s="39">
        <v>0.0</v>
      </c>
      <c r="AX19" s="39">
        <v>0.0</v>
      </c>
      <c r="AY19" s="39">
        <v>0.0</v>
      </c>
      <c r="AZ19" s="39">
        <v>0.0</v>
      </c>
      <c r="BA19" s="39">
        <v>0.0</v>
      </c>
      <c r="BB19" s="39">
        <v>0.0</v>
      </c>
      <c r="BC19" s="39">
        <v>1738.0</v>
      </c>
      <c r="BD19" s="39">
        <v>0.0</v>
      </c>
      <c r="BE19" s="39">
        <v>0.0</v>
      </c>
      <c r="BF19" s="39">
        <v>0.0</v>
      </c>
      <c r="BG19" s="39">
        <v>0.0</v>
      </c>
      <c r="BH19" s="39">
        <v>0.0</v>
      </c>
      <c r="BI19" s="44"/>
    </row>
    <row r="20">
      <c r="A20" s="38">
        <f t="shared" si="1"/>
        <v>45963</v>
      </c>
      <c r="B20" s="39">
        <v>19.0</v>
      </c>
      <c r="C20" s="39" t="s">
        <v>1280</v>
      </c>
      <c r="D20" s="39">
        <v>1.0</v>
      </c>
      <c r="E20" s="39">
        <v>2.647803653E9</v>
      </c>
      <c r="F20" s="39" t="s">
        <v>1204</v>
      </c>
      <c r="G20" s="39" t="s">
        <v>1281</v>
      </c>
      <c r="H20" s="39" t="s">
        <v>1282</v>
      </c>
      <c r="I20" s="40">
        <v>45963.0</v>
      </c>
      <c r="J20" s="40">
        <v>45964.0</v>
      </c>
      <c r="K20" s="40">
        <v>45965.0</v>
      </c>
      <c r="L20" s="45">
        <v>45966.0</v>
      </c>
      <c r="M20" s="45">
        <v>45966.0</v>
      </c>
      <c r="N20" s="45">
        <v>45968.0</v>
      </c>
      <c r="O20" s="39">
        <v>6.342749718E9</v>
      </c>
      <c r="P20" s="39" t="s">
        <v>1213</v>
      </c>
      <c r="Q20" s="39" t="s">
        <v>1283</v>
      </c>
      <c r="R20" s="39">
        <v>1.0</v>
      </c>
      <c r="S20" s="39">
        <v>22004.0</v>
      </c>
      <c r="T20" s="39">
        <v>59000.0</v>
      </c>
      <c r="U20" s="39">
        <v>0.0</v>
      </c>
      <c r="V20" s="39">
        <v>36996.0</v>
      </c>
      <c r="W20" s="39">
        <v>22004.0</v>
      </c>
      <c r="X20" s="39">
        <v>59000.0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4.60723948075E11</v>
      </c>
      <c r="AM20" s="39" t="s">
        <v>1209</v>
      </c>
      <c r="AN20" s="42">
        <v>0.09</v>
      </c>
      <c r="AO20" s="43">
        <v>2038.0</v>
      </c>
      <c r="AP20" s="39">
        <v>0.0</v>
      </c>
      <c r="AQ20" s="39">
        <v>0.0</v>
      </c>
      <c r="AR20" s="39">
        <v>0.0</v>
      </c>
      <c r="AS20" s="39">
        <v>33330.0</v>
      </c>
      <c r="AT20" s="39">
        <v>29240.0</v>
      </c>
      <c r="AU20" s="39">
        <v>4090.0</v>
      </c>
      <c r="AV20" s="39">
        <v>0.0</v>
      </c>
      <c r="AW20" s="39">
        <v>0.0</v>
      </c>
      <c r="AX20" s="39">
        <v>0.0</v>
      </c>
      <c r="AY20" s="39">
        <v>0.0</v>
      </c>
      <c r="AZ20" s="39">
        <v>0.0</v>
      </c>
      <c r="BA20" s="39">
        <v>0.0</v>
      </c>
      <c r="BB20" s="39">
        <v>0.0</v>
      </c>
      <c r="BC20" s="39">
        <v>1628.0</v>
      </c>
      <c r="BD20" s="39">
        <v>0.0</v>
      </c>
      <c r="BE20" s="39">
        <v>0.0</v>
      </c>
      <c r="BF20" s="39">
        <v>0.0</v>
      </c>
      <c r="BG20" s="39">
        <v>0.0</v>
      </c>
      <c r="BH20" s="39">
        <v>0.0</v>
      </c>
      <c r="BI20" s="44"/>
    </row>
    <row r="21">
      <c r="A21" s="38">
        <f t="shared" si="1"/>
        <v>45964</v>
      </c>
      <c r="B21" s="39">
        <v>20.0</v>
      </c>
      <c r="C21" s="39" t="s">
        <v>1284</v>
      </c>
      <c r="D21" s="39">
        <v>1.0</v>
      </c>
      <c r="E21" s="39">
        <v>2.64787014E9</v>
      </c>
      <c r="F21" s="39" t="s">
        <v>1204</v>
      </c>
      <c r="G21" s="39" t="s">
        <v>1285</v>
      </c>
      <c r="H21" s="39" t="s">
        <v>1286</v>
      </c>
      <c r="I21" s="40">
        <v>45964.0</v>
      </c>
      <c r="J21" s="40">
        <v>45964.0</v>
      </c>
      <c r="K21" s="40">
        <v>45965.0</v>
      </c>
      <c r="L21" s="41">
        <v>45973.0</v>
      </c>
      <c r="M21" s="41">
        <v>45973.0</v>
      </c>
      <c r="N21" s="41">
        <v>45975.0</v>
      </c>
      <c r="O21" s="39">
        <v>8.718781954E9</v>
      </c>
      <c r="P21" s="39" t="s">
        <v>1287</v>
      </c>
      <c r="Q21" s="39" t="s">
        <v>1259</v>
      </c>
      <c r="R21" s="39">
        <v>1.0</v>
      </c>
      <c r="S21" s="39">
        <v>94498.0</v>
      </c>
      <c r="T21" s="39">
        <v>119000.0</v>
      </c>
      <c r="U21" s="39">
        <v>0.0</v>
      </c>
      <c r="V21" s="39">
        <v>24502.0</v>
      </c>
      <c r="W21" s="39">
        <v>0.0</v>
      </c>
      <c r="X21" s="39">
        <v>119000.0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</v>
      </c>
      <c r="AJ21" s="39">
        <v>0.0</v>
      </c>
      <c r="AK21" s="39">
        <v>0.0</v>
      </c>
      <c r="AL21" s="39">
        <v>5.30619256466E11</v>
      </c>
      <c r="AM21" s="39" t="s">
        <v>1209</v>
      </c>
      <c r="AN21" s="42">
        <v>0.09</v>
      </c>
      <c r="AO21" s="43">
        <v>5302.0</v>
      </c>
      <c r="AP21" s="39">
        <v>0.0</v>
      </c>
      <c r="AQ21" s="39">
        <v>0.0</v>
      </c>
      <c r="AR21" s="39">
        <v>0.0</v>
      </c>
      <c r="AS21" s="39">
        <v>15900.0</v>
      </c>
      <c r="AT21" s="39">
        <v>9140.0</v>
      </c>
      <c r="AU21" s="39">
        <v>6760.0</v>
      </c>
      <c r="AV21" s="39">
        <v>0.0</v>
      </c>
      <c r="AW21" s="39">
        <v>0.0</v>
      </c>
      <c r="AX21" s="39">
        <v>0.0</v>
      </c>
      <c r="AY21" s="39">
        <v>0.0</v>
      </c>
      <c r="AZ21" s="39">
        <v>0.0</v>
      </c>
      <c r="BA21" s="39">
        <v>0.0</v>
      </c>
      <c r="BB21" s="39">
        <v>0.0</v>
      </c>
      <c r="BC21" s="39">
        <v>3300.0</v>
      </c>
      <c r="BD21" s="39">
        <v>0.0</v>
      </c>
      <c r="BE21" s="39">
        <v>0.0</v>
      </c>
      <c r="BF21" s="39">
        <v>0.0</v>
      </c>
      <c r="BG21" s="39">
        <v>0.0</v>
      </c>
      <c r="BH21" s="39">
        <v>0.0</v>
      </c>
      <c r="BI21" s="44"/>
    </row>
    <row r="22">
      <c r="A22" s="38">
        <f t="shared" si="1"/>
        <v>45964</v>
      </c>
      <c r="B22" s="39">
        <v>21.0</v>
      </c>
      <c r="C22" s="39" t="s">
        <v>1288</v>
      </c>
      <c r="D22" s="39">
        <v>1.0</v>
      </c>
      <c r="E22" s="39">
        <v>2.648000246E9</v>
      </c>
      <c r="F22" s="39" t="s">
        <v>1204</v>
      </c>
      <c r="G22" s="39" t="s">
        <v>1289</v>
      </c>
      <c r="H22" s="39" t="s">
        <v>1290</v>
      </c>
      <c r="I22" s="40">
        <v>45964.0</v>
      </c>
      <c r="J22" s="40">
        <v>45964.0</v>
      </c>
      <c r="K22" s="40">
        <v>45965.0</v>
      </c>
      <c r="L22" s="41">
        <v>45973.0</v>
      </c>
      <c r="M22" s="41">
        <v>45973.0</v>
      </c>
      <c r="N22" s="41">
        <v>45975.0</v>
      </c>
      <c r="O22" s="39">
        <v>6.342749718E9</v>
      </c>
      <c r="P22" s="39" t="s">
        <v>1213</v>
      </c>
      <c r="Q22" s="39" t="s">
        <v>1291</v>
      </c>
      <c r="R22" s="39">
        <v>2.0</v>
      </c>
      <c r="S22" s="39">
        <v>44994.0</v>
      </c>
      <c r="T22" s="39">
        <v>118000.0</v>
      </c>
      <c r="U22" s="39">
        <v>0.0</v>
      </c>
      <c r="V22" s="39">
        <v>73006.0</v>
      </c>
      <c r="W22" s="39">
        <v>44994.0</v>
      </c>
      <c r="X22" s="39">
        <v>118000.0</v>
      </c>
      <c r="Y22" s="39">
        <v>0.0</v>
      </c>
      <c r="Z22" s="39">
        <v>0.0</v>
      </c>
      <c r="AA22" s="39">
        <v>0.0</v>
      </c>
      <c r="AB22" s="39">
        <v>0.0</v>
      </c>
      <c r="AC22" s="39">
        <v>0.0</v>
      </c>
      <c r="AD22" s="39">
        <v>0.0</v>
      </c>
      <c r="AE22" s="39">
        <v>0.0</v>
      </c>
      <c r="AF22" s="39">
        <v>0.0</v>
      </c>
      <c r="AG22" s="39">
        <v>0.0</v>
      </c>
      <c r="AH22" s="39">
        <v>0.0</v>
      </c>
      <c r="AI22" s="39">
        <v>0.0</v>
      </c>
      <c r="AJ22" s="39">
        <v>0.0</v>
      </c>
      <c r="AK22" s="39">
        <v>0.0</v>
      </c>
      <c r="AL22" s="39">
        <v>4.60733608602E11</v>
      </c>
      <c r="AM22" s="39" t="s">
        <v>1209</v>
      </c>
      <c r="AN22" s="42">
        <v>0.09</v>
      </c>
      <c r="AO22" s="43">
        <v>7276.0</v>
      </c>
      <c r="AP22" s="39">
        <v>0.0</v>
      </c>
      <c r="AQ22" s="39">
        <v>0.0</v>
      </c>
      <c r="AR22" s="39">
        <v>0.0</v>
      </c>
      <c r="AS22" s="39">
        <v>60660.0</v>
      </c>
      <c r="AT22" s="39">
        <v>56480.0</v>
      </c>
      <c r="AU22" s="39">
        <v>4180.0</v>
      </c>
      <c r="AV22" s="39">
        <v>0.0</v>
      </c>
      <c r="AW22" s="39">
        <v>4000.0</v>
      </c>
      <c r="AX22" s="39">
        <v>0.0</v>
      </c>
      <c r="AY22" s="39">
        <v>0.0</v>
      </c>
      <c r="AZ22" s="39">
        <v>0.0</v>
      </c>
      <c r="BA22" s="39">
        <v>0.0</v>
      </c>
      <c r="BB22" s="39">
        <v>0.0</v>
      </c>
      <c r="BC22" s="39">
        <v>1070.0</v>
      </c>
      <c r="BD22" s="39">
        <v>0.0</v>
      </c>
      <c r="BE22" s="39">
        <v>0.0</v>
      </c>
      <c r="BF22" s="39">
        <v>0.0</v>
      </c>
      <c r="BG22" s="39">
        <v>0.0</v>
      </c>
      <c r="BH22" s="39">
        <v>0.0</v>
      </c>
      <c r="BI22" s="44"/>
    </row>
    <row r="23">
      <c r="A23" s="38">
        <f t="shared" si="1"/>
        <v>45964</v>
      </c>
      <c r="B23" s="39">
        <v>22.0</v>
      </c>
      <c r="C23" s="39" t="s">
        <v>1292</v>
      </c>
      <c r="D23" s="39">
        <v>1.0</v>
      </c>
      <c r="E23" s="39">
        <v>2.648021767E9</v>
      </c>
      <c r="F23" s="39" t="s">
        <v>1204</v>
      </c>
      <c r="G23" s="39" t="s">
        <v>1293</v>
      </c>
      <c r="H23" s="39" t="s">
        <v>1294</v>
      </c>
      <c r="I23" s="40">
        <v>45964.0</v>
      </c>
      <c r="J23" s="40">
        <v>45964.0</v>
      </c>
      <c r="K23" s="40">
        <v>45965.0</v>
      </c>
      <c r="L23" s="41">
        <v>45973.0</v>
      </c>
      <c r="M23" s="41">
        <v>45973.0</v>
      </c>
      <c r="N23" s="41">
        <v>45975.0</v>
      </c>
      <c r="O23" s="39">
        <v>7.175614365E9</v>
      </c>
      <c r="P23" s="39" t="s">
        <v>1263</v>
      </c>
      <c r="Q23" s="39" t="s">
        <v>1219</v>
      </c>
      <c r="R23" s="39">
        <v>1.0</v>
      </c>
      <c r="S23" s="39">
        <v>12520.0</v>
      </c>
      <c r="T23" s="39">
        <v>15000.0</v>
      </c>
      <c r="U23" s="39">
        <v>0.0</v>
      </c>
      <c r="V23" s="39">
        <v>2480.0</v>
      </c>
      <c r="W23" s="39">
        <v>0.0</v>
      </c>
      <c r="X23" s="39">
        <v>15000.0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39">
        <v>0.0</v>
      </c>
      <c r="AI23" s="39">
        <v>0.0</v>
      </c>
      <c r="AJ23" s="39">
        <v>0.0</v>
      </c>
      <c r="AK23" s="39">
        <v>0.0</v>
      </c>
      <c r="AL23" s="39">
        <v>4.60733608613E11</v>
      </c>
      <c r="AM23" s="39" t="s">
        <v>1209</v>
      </c>
      <c r="AN23" s="42">
        <v>0.09</v>
      </c>
      <c r="AO23" s="43">
        <v>870.0</v>
      </c>
      <c r="AP23" s="39">
        <v>0.0</v>
      </c>
      <c r="AQ23" s="39">
        <v>0.0</v>
      </c>
      <c r="AR23" s="39">
        <v>0.0</v>
      </c>
      <c r="AS23" s="39">
        <v>1500.0</v>
      </c>
      <c r="AT23" s="39">
        <v>900.0</v>
      </c>
      <c r="AU23" s="39">
        <v>600.0</v>
      </c>
      <c r="AV23" s="39">
        <v>0.0</v>
      </c>
      <c r="AW23" s="39">
        <v>0.0</v>
      </c>
      <c r="AX23" s="39">
        <v>0.0</v>
      </c>
      <c r="AY23" s="39">
        <v>0.0</v>
      </c>
      <c r="AZ23" s="39">
        <v>0.0</v>
      </c>
      <c r="BA23" s="39">
        <v>0.0</v>
      </c>
      <c r="BB23" s="39">
        <v>0.0</v>
      </c>
      <c r="BC23" s="39">
        <v>110.0</v>
      </c>
      <c r="BD23" s="39">
        <v>0.0</v>
      </c>
      <c r="BE23" s="39">
        <v>0.0</v>
      </c>
      <c r="BF23" s="39">
        <v>0.0</v>
      </c>
      <c r="BG23" s="39">
        <v>0.0</v>
      </c>
      <c r="BH23" s="39">
        <v>0.0</v>
      </c>
      <c r="BI23" s="44"/>
    </row>
    <row r="24">
      <c r="A24" s="38">
        <f t="shared" si="1"/>
        <v>45964</v>
      </c>
      <c r="B24" s="39">
        <v>23.0</v>
      </c>
      <c r="C24" s="39" t="s">
        <v>1295</v>
      </c>
      <c r="D24" s="39">
        <v>2.0</v>
      </c>
      <c r="E24" s="39">
        <v>2.64804188E9</v>
      </c>
      <c r="F24" s="39" t="s">
        <v>1204</v>
      </c>
      <c r="G24" s="39" t="s">
        <v>1296</v>
      </c>
      <c r="H24" s="39" t="s">
        <v>1297</v>
      </c>
      <c r="I24" s="40">
        <v>45964.0</v>
      </c>
      <c r="J24" s="40">
        <v>45964.0</v>
      </c>
      <c r="K24" s="40">
        <v>45965.0</v>
      </c>
      <c r="L24" s="45">
        <v>45967.0</v>
      </c>
      <c r="M24" s="45">
        <v>45967.0</v>
      </c>
      <c r="N24" s="41">
        <v>45971.0</v>
      </c>
      <c r="O24" s="39">
        <v>6.342749718E9</v>
      </c>
      <c r="P24" s="39" t="s">
        <v>1213</v>
      </c>
      <c r="Q24" s="39" t="s">
        <v>1251</v>
      </c>
      <c r="R24" s="39">
        <v>1.0</v>
      </c>
      <c r="S24" s="39">
        <v>21675.0</v>
      </c>
      <c r="T24" s="39">
        <v>59000.0</v>
      </c>
      <c r="U24" s="39">
        <v>0.0</v>
      </c>
      <c r="V24" s="39">
        <v>37325.0</v>
      </c>
      <c r="W24" s="39">
        <v>0.0</v>
      </c>
      <c r="X24" s="39">
        <v>59000.0</v>
      </c>
      <c r="Y24" s="39">
        <v>0.0</v>
      </c>
      <c r="Z24" s="39">
        <v>0.0</v>
      </c>
      <c r="AA24" s="39">
        <v>0.0</v>
      </c>
      <c r="AB24" s="39">
        <v>0.0</v>
      </c>
      <c r="AC24" s="39">
        <v>0.0</v>
      </c>
      <c r="AD24" s="39">
        <v>0.0</v>
      </c>
      <c r="AE24" s="39">
        <v>0.0</v>
      </c>
      <c r="AF24" s="39">
        <v>0.0</v>
      </c>
      <c r="AG24" s="39">
        <v>0.0</v>
      </c>
      <c r="AH24" s="39">
        <v>0.0</v>
      </c>
      <c r="AI24" s="39">
        <v>0.0</v>
      </c>
      <c r="AJ24" s="39">
        <v>0.0</v>
      </c>
      <c r="AK24" s="39">
        <v>0.0</v>
      </c>
      <c r="AL24" s="39">
        <v>4.60733608624E11</v>
      </c>
      <c r="AM24" s="39" t="s">
        <v>1209</v>
      </c>
      <c r="AN24" s="42">
        <v>0.09</v>
      </c>
      <c r="AO24" s="43">
        <v>2238.0</v>
      </c>
      <c r="AP24" s="39">
        <v>0.0</v>
      </c>
      <c r="AQ24" s="39">
        <v>0.0</v>
      </c>
      <c r="AR24" s="39">
        <v>0.0</v>
      </c>
      <c r="AS24" s="39">
        <v>33080.0</v>
      </c>
      <c r="AT24" s="39">
        <v>29240.0</v>
      </c>
      <c r="AU24" s="39">
        <v>3840.0</v>
      </c>
      <c r="AV24" s="39">
        <v>0.0</v>
      </c>
      <c r="AW24" s="39">
        <v>0.0</v>
      </c>
      <c r="AX24" s="39">
        <v>0.0</v>
      </c>
      <c r="AY24" s="39">
        <v>0.0</v>
      </c>
      <c r="AZ24" s="39">
        <v>0.0</v>
      </c>
      <c r="BA24" s="39">
        <v>0.0</v>
      </c>
      <c r="BB24" s="39">
        <v>0.0</v>
      </c>
      <c r="BC24" s="39">
        <v>2007.0</v>
      </c>
      <c r="BD24" s="39">
        <v>0.0</v>
      </c>
      <c r="BE24" s="39">
        <v>0.0</v>
      </c>
      <c r="BF24" s="39">
        <v>0.0</v>
      </c>
      <c r="BG24" s="39">
        <v>0.0</v>
      </c>
      <c r="BH24" s="39">
        <v>0.0</v>
      </c>
      <c r="BI24" s="44"/>
    </row>
    <row r="25">
      <c r="A25" s="38">
        <f t="shared" si="1"/>
        <v>45964</v>
      </c>
      <c r="B25" s="39">
        <v>24.0</v>
      </c>
      <c r="C25" s="39" t="s">
        <v>1298</v>
      </c>
      <c r="D25" s="39">
        <v>1.0</v>
      </c>
      <c r="E25" s="39">
        <v>2.648141325E9</v>
      </c>
      <c r="F25" s="39" t="s">
        <v>1204</v>
      </c>
      <c r="G25" s="39" t="s">
        <v>1299</v>
      </c>
      <c r="H25" s="39" t="s">
        <v>1300</v>
      </c>
      <c r="I25" s="40">
        <v>45964.0</v>
      </c>
      <c r="J25" s="40">
        <v>45964.0</v>
      </c>
      <c r="K25" s="40">
        <v>45965.0</v>
      </c>
      <c r="L25" s="41">
        <v>45973.0</v>
      </c>
      <c r="M25" s="41">
        <v>45973.0</v>
      </c>
      <c r="N25" s="41">
        <v>45975.0</v>
      </c>
      <c r="O25" s="39">
        <v>6.363337566E9</v>
      </c>
      <c r="P25" s="39" t="s">
        <v>1301</v>
      </c>
      <c r="Q25" s="39" t="s">
        <v>1219</v>
      </c>
      <c r="R25" s="39">
        <v>1.0</v>
      </c>
      <c r="S25" s="39">
        <v>35553.0</v>
      </c>
      <c r="T25" s="39">
        <v>48000.0</v>
      </c>
      <c r="U25" s="39">
        <v>0.0</v>
      </c>
      <c r="V25" s="39">
        <v>12447.0</v>
      </c>
      <c r="W25" s="39">
        <v>0.0</v>
      </c>
      <c r="X25" s="39">
        <v>48000.0</v>
      </c>
      <c r="Y25" s="39">
        <v>0.0</v>
      </c>
      <c r="Z25" s="39">
        <v>0.0</v>
      </c>
      <c r="AA25" s="39">
        <v>0.0</v>
      </c>
      <c r="AB25" s="39">
        <v>0.0</v>
      </c>
      <c r="AC25" s="39">
        <v>0.0</v>
      </c>
      <c r="AD25" s="39">
        <v>0.0</v>
      </c>
      <c r="AE25" s="39">
        <v>0.0</v>
      </c>
      <c r="AF25" s="39">
        <v>0.0</v>
      </c>
      <c r="AG25" s="39">
        <v>0.0</v>
      </c>
      <c r="AH25" s="39">
        <v>0.0</v>
      </c>
      <c r="AI25" s="39">
        <v>0.0</v>
      </c>
      <c r="AJ25" s="39">
        <v>0.0</v>
      </c>
      <c r="AK25" s="39">
        <v>0.0</v>
      </c>
      <c r="AL25" s="39">
        <v>4.60735884906E11</v>
      </c>
      <c r="AM25" s="39" t="s">
        <v>1209</v>
      </c>
      <c r="AN25" s="42">
        <v>0.09</v>
      </c>
      <c r="AO25" s="43">
        <v>1192.0</v>
      </c>
      <c r="AP25" s="39">
        <v>0.0</v>
      </c>
      <c r="AQ25" s="39">
        <v>0.0</v>
      </c>
      <c r="AR25" s="39">
        <v>0.0</v>
      </c>
      <c r="AS25" s="39">
        <v>8890.0</v>
      </c>
      <c r="AT25" s="39">
        <v>4980.0</v>
      </c>
      <c r="AU25" s="39">
        <v>3910.0</v>
      </c>
      <c r="AV25" s="39">
        <v>0.0</v>
      </c>
      <c r="AW25" s="39">
        <v>0.0</v>
      </c>
      <c r="AX25" s="39">
        <v>0.0</v>
      </c>
      <c r="AY25" s="39">
        <v>0.0</v>
      </c>
      <c r="AZ25" s="39">
        <v>0.0</v>
      </c>
      <c r="BA25" s="39">
        <v>0.0</v>
      </c>
      <c r="BB25" s="39">
        <v>0.0</v>
      </c>
      <c r="BC25" s="39">
        <v>2365.0</v>
      </c>
      <c r="BD25" s="39">
        <v>0.0</v>
      </c>
      <c r="BE25" s="39">
        <v>0.0</v>
      </c>
      <c r="BF25" s="39">
        <v>0.0</v>
      </c>
      <c r="BG25" s="39">
        <v>0.0</v>
      </c>
      <c r="BH25" s="39">
        <v>0.0</v>
      </c>
      <c r="BI25" s="44"/>
    </row>
    <row r="26">
      <c r="A26" s="38">
        <f t="shared" si="1"/>
        <v>45964</v>
      </c>
      <c r="B26" s="39">
        <v>25.0</v>
      </c>
      <c r="C26" s="39" t="s">
        <v>1302</v>
      </c>
      <c r="D26" s="39">
        <v>1.0</v>
      </c>
      <c r="E26" s="39">
        <v>2.648307088E9</v>
      </c>
      <c r="F26" s="39" t="s">
        <v>1204</v>
      </c>
      <c r="G26" s="39" t="s">
        <v>1303</v>
      </c>
      <c r="H26" s="39" t="s">
        <v>1304</v>
      </c>
      <c r="I26" s="40">
        <v>45964.0</v>
      </c>
      <c r="J26" s="40">
        <v>45965.0</v>
      </c>
      <c r="K26" s="40">
        <v>45966.0</v>
      </c>
      <c r="L26" s="41">
        <v>45974.0</v>
      </c>
      <c r="M26" s="41">
        <v>45974.0</v>
      </c>
      <c r="N26" s="41">
        <v>45978.0</v>
      </c>
      <c r="O26" s="39">
        <v>6.546161396E9</v>
      </c>
      <c r="P26" s="39" t="s">
        <v>1231</v>
      </c>
      <c r="Q26" s="39" t="s">
        <v>1236</v>
      </c>
      <c r="R26" s="39">
        <v>1.0</v>
      </c>
      <c r="S26" s="39">
        <v>13764.0</v>
      </c>
      <c r="T26" s="39">
        <v>18000.0</v>
      </c>
      <c r="U26" s="39">
        <v>0.0</v>
      </c>
      <c r="V26" s="39">
        <v>4236.0</v>
      </c>
      <c r="W26" s="39">
        <v>0.0</v>
      </c>
      <c r="X26" s="39">
        <v>18000.0</v>
      </c>
      <c r="Y26" s="39">
        <v>0.0</v>
      </c>
      <c r="Z26" s="39">
        <v>0.0</v>
      </c>
      <c r="AA26" s="39">
        <v>0.0</v>
      </c>
      <c r="AB26" s="39">
        <v>0.0</v>
      </c>
      <c r="AC26" s="39">
        <v>0.0</v>
      </c>
      <c r="AD26" s="39">
        <v>0.0</v>
      </c>
      <c r="AE26" s="39">
        <v>0.0</v>
      </c>
      <c r="AF26" s="39">
        <v>0.0</v>
      </c>
      <c r="AG26" s="39">
        <v>0.0</v>
      </c>
      <c r="AH26" s="39">
        <v>0.0</v>
      </c>
      <c r="AI26" s="39">
        <v>0.0</v>
      </c>
      <c r="AJ26" s="39">
        <v>0.0</v>
      </c>
      <c r="AK26" s="39">
        <v>0.0</v>
      </c>
      <c r="AL26" s="39">
        <v>4.6074106197E11</v>
      </c>
      <c r="AM26" s="39" t="s">
        <v>1209</v>
      </c>
      <c r="AN26" s="42">
        <v>0.11</v>
      </c>
      <c r="AO26" s="43">
        <v>1124.0</v>
      </c>
      <c r="AP26" s="39">
        <v>0.0</v>
      </c>
      <c r="AQ26" s="39">
        <v>0.0</v>
      </c>
      <c r="AR26" s="39">
        <v>0.0</v>
      </c>
      <c r="AS26" s="39">
        <v>2780.0</v>
      </c>
      <c r="AT26" s="39">
        <v>1710.0</v>
      </c>
      <c r="AU26" s="39">
        <v>1070.0</v>
      </c>
      <c r="AV26" s="39">
        <v>0.0</v>
      </c>
      <c r="AW26" s="39">
        <v>0.0</v>
      </c>
      <c r="AX26" s="39">
        <v>0.0</v>
      </c>
      <c r="AY26" s="39">
        <v>0.0</v>
      </c>
      <c r="AZ26" s="39">
        <v>0.0</v>
      </c>
      <c r="BA26" s="39">
        <v>0.0</v>
      </c>
      <c r="BB26" s="39">
        <v>0.0</v>
      </c>
      <c r="BC26" s="39">
        <v>332.0</v>
      </c>
      <c r="BD26" s="39">
        <v>0.0</v>
      </c>
      <c r="BE26" s="39">
        <v>0.0</v>
      </c>
      <c r="BF26" s="39">
        <v>0.0</v>
      </c>
      <c r="BG26" s="39">
        <v>0.0</v>
      </c>
      <c r="BH26" s="39">
        <v>0.0</v>
      </c>
      <c r="BI26" s="44"/>
    </row>
    <row r="27">
      <c r="A27" s="38">
        <f t="shared" si="1"/>
        <v>45964</v>
      </c>
      <c r="B27" s="39">
        <v>26.0</v>
      </c>
      <c r="C27" s="39" t="s">
        <v>1305</v>
      </c>
      <c r="D27" s="39">
        <v>1.0</v>
      </c>
      <c r="E27" s="39">
        <v>2.648317556E9</v>
      </c>
      <c r="F27" s="39" t="s">
        <v>1204</v>
      </c>
      <c r="G27" s="39" t="s">
        <v>1306</v>
      </c>
      <c r="H27" s="39" t="s">
        <v>1307</v>
      </c>
      <c r="I27" s="40">
        <v>45964.0</v>
      </c>
      <c r="J27" s="40">
        <v>45965.0</v>
      </c>
      <c r="K27" s="40">
        <v>45966.0</v>
      </c>
      <c r="L27" s="41">
        <v>45974.0</v>
      </c>
      <c r="M27" s="41">
        <v>45974.0</v>
      </c>
      <c r="N27" s="41">
        <v>45978.0</v>
      </c>
      <c r="O27" s="39">
        <v>6.342749718E9</v>
      </c>
      <c r="P27" s="39" t="s">
        <v>1213</v>
      </c>
      <c r="Q27" s="39" t="s">
        <v>1283</v>
      </c>
      <c r="R27" s="39">
        <v>1.0</v>
      </c>
      <c r="S27" s="39">
        <v>21628.0</v>
      </c>
      <c r="T27" s="39">
        <v>59000.0</v>
      </c>
      <c r="U27" s="39">
        <v>0.0</v>
      </c>
      <c r="V27" s="39">
        <v>37372.0</v>
      </c>
      <c r="W27" s="39">
        <v>0.0</v>
      </c>
      <c r="X27" s="39">
        <v>59000.0</v>
      </c>
      <c r="Y27" s="39">
        <v>0.0</v>
      </c>
      <c r="Z27" s="39">
        <v>0.0</v>
      </c>
      <c r="AA27" s="39">
        <v>0.0</v>
      </c>
      <c r="AB27" s="39">
        <v>0.0</v>
      </c>
      <c r="AC27" s="39">
        <v>0.0</v>
      </c>
      <c r="AD27" s="39">
        <v>0.0</v>
      </c>
      <c r="AE27" s="39">
        <v>0.0</v>
      </c>
      <c r="AF27" s="39">
        <v>0.0</v>
      </c>
      <c r="AG27" s="39">
        <v>0.0</v>
      </c>
      <c r="AH27" s="39">
        <v>0.0</v>
      </c>
      <c r="AI27" s="39">
        <v>0.0</v>
      </c>
      <c r="AJ27" s="39">
        <v>0.0</v>
      </c>
      <c r="AK27" s="39">
        <v>0.0</v>
      </c>
      <c r="AL27" s="39">
        <v>4.60741061981E11</v>
      </c>
      <c r="AM27" s="39" t="s">
        <v>1209</v>
      </c>
      <c r="AN27" s="42">
        <v>0.09</v>
      </c>
      <c r="AO27" s="43">
        <v>2038.0</v>
      </c>
      <c r="AP27" s="39">
        <v>0.0</v>
      </c>
      <c r="AQ27" s="39">
        <v>0.0</v>
      </c>
      <c r="AR27" s="39">
        <v>0.0</v>
      </c>
      <c r="AS27" s="39">
        <v>33330.0</v>
      </c>
      <c r="AT27" s="39">
        <v>29240.0</v>
      </c>
      <c r="AU27" s="39">
        <v>4090.0</v>
      </c>
      <c r="AV27" s="39">
        <v>0.0</v>
      </c>
      <c r="AW27" s="39">
        <v>0.0</v>
      </c>
      <c r="AX27" s="39">
        <v>0.0</v>
      </c>
      <c r="AY27" s="39">
        <v>0.0</v>
      </c>
      <c r="AZ27" s="39">
        <v>0.0</v>
      </c>
      <c r="BA27" s="39">
        <v>0.0</v>
      </c>
      <c r="BB27" s="39">
        <v>0.0</v>
      </c>
      <c r="BC27" s="39">
        <v>2004.0</v>
      </c>
      <c r="BD27" s="39">
        <v>0.0</v>
      </c>
      <c r="BE27" s="39">
        <v>0.0</v>
      </c>
      <c r="BF27" s="39">
        <v>0.0</v>
      </c>
      <c r="BG27" s="39">
        <v>0.0</v>
      </c>
      <c r="BH27" s="39">
        <v>0.0</v>
      </c>
      <c r="BI27" s="44"/>
    </row>
    <row r="28">
      <c r="A28" s="38">
        <f t="shared" si="1"/>
        <v>45964</v>
      </c>
      <c r="B28" s="39">
        <v>27.0</v>
      </c>
      <c r="C28" s="39" t="s">
        <v>1308</v>
      </c>
      <c r="D28" s="39">
        <v>1.0</v>
      </c>
      <c r="E28" s="39">
        <v>2.648350844E9</v>
      </c>
      <c r="F28" s="39" t="s">
        <v>1204</v>
      </c>
      <c r="G28" s="39" t="s">
        <v>1309</v>
      </c>
      <c r="H28" s="39" t="s">
        <v>1310</v>
      </c>
      <c r="I28" s="40">
        <v>45964.0</v>
      </c>
      <c r="J28" s="40">
        <v>45965.0</v>
      </c>
      <c r="K28" s="40">
        <v>45966.0</v>
      </c>
      <c r="L28" s="45">
        <v>45967.0</v>
      </c>
      <c r="M28" s="45">
        <v>45967.0</v>
      </c>
      <c r="N28" s="41">
        <v>45971.0</v>
      </c>
      <c r="O28" s="39">
        <v>6.546161396E9</v>
      </c>
      <c r="P28" s="39" t="s">
        <v>1231</v>
      </c>
      <c r="Q28" s="39" t="s">
        <v>1236</v>
      </c>
      <c r="R28" s="39">
        <v>1.0</v>
      </c>
      <c r="S28" s="39">
        <v>12937.0</v>
      </c>
      <c r="T28" s="39">
        <v>18000.0</v>
      </c>
      <c r="U28" s="39">
        <v>0.0</v>
      </c>
      <c r="V28" s="39">
        <v>5063.0</v>
      </c>
      <c r="W28" s="39">
        <v>0.0</v>
      </c>
      <c r="X28" s="39">
        <v>18000.0</v>
      </c>
      <c r="Y28" s="39">
        <v>0.0</v>
      </c>
      <c r="Z28" s="39">
        <v>0.0</v>
      </c>
      <c r="AA28" s="39">
        <v>0.0</v>
      </c>
      <c r="AB28" s="39">
        <v>0.0</v>
      </c>
      <c r="AC28" s="39">
        <v>0.0</v>
      </c>
      <c r="AD28" s="39">
        <v>0.0</v>
      </c>
      <c r="AE28" s="39">
        <v>0.0</v>
      </c>
      <c r="AF28" s="39">
        <v>0.0</v>
      </c>
      <c r="AG28" s="39">
        <v>0.0</v>
      </c>
      <c r="AH28" s="39">
        <v>0.0</v>
      </c>
      <c r="AI28" s="39">
        <v>0.0</v>
      </c>
      <c r="AJ28" s="39">
        <v>0.0</v>
      </c>
      <c r="AK28" s="39">
        <v>0.0</v>
      </c>
      <c r="AL28" s="39">
        <v>4.60741061992E11</v>
      </c>
      <c r="AM28" s="39" t="s">
        <v>1209</v>
      </c>
      <c r="AN28" s="42">
        <v>0.11</v>
      </c>
      <c r="AO28" s="43">
        <v>1124.0</v>
      </c>
      <c r="AP28" s="39">
        <v>0.0</v>
      </c>
      <c r="AQ28" s="39">
        <v>0.0</v>
      </c>
      <c r="AR28" s="39">
        <v>0.0</v>
      </c>
      <c r="AS28" s="39">
        <v>2780.0</v>
      </c>
      <c r="AT28" s="39">
        <v>1710.0</v>
      </c>
      <c r="AU28" s="39">
        <v>1070.0</v>
      </c>
      <c r="AV28" s="39">
        <v>0.0</v>
      </c>
      <c r="AW28" s="39">
        <v>0.0</v>
      </c>
      <c r="AX28" s="39">
        <v>0.0</v>
      </c>
      <c r="AY28" s="39">
        <v>0.0</v>
      </c>
      <c r="AZ28" s="39">
        <v>0.0</v>
      </c>
      <c r="BA28" s="39">
        <v>0.0</v>
      </c>
      <c r="BB28" s="39">
        <v>0.0</v>
      </c>
      <c r="BC28" s="39">
        <v>1159.0</v>
      </c>
      <c r="BD28" s="39">
        <v>0.0</v>
      </c>
      <c r="BE28" s="39">
        <v>0.0</v>
      </c>
      <c r="BF28" s="39">
        <v>0.0</v>
      </c>
      <c r="BG28" s="39">
        <v>0.0</v>
      </c>
      <c r="BH28" s="39">
        <v>0.0</v>
      </c>
      <c r="BI28" s="44"/>
    </row>
    <row r="29">
      <c r="A29" s="38">
        <f t="shared" si="1"/>
        <v>45964</v>
      </c>
      <c r="B29" s="39">
        <v>28.0</v>
      </c>
      <c r="C29" s="39" t="s">
        <v>1311</v>
      </c>
      <c r="D29" s="39">
        <v>1.0</v>
      </c>
      <c r="E29" s="39">
        <v>2.648393125E9</v>
      </c>
      <c r="F29" s="39" t="s">
        <v>1204</v>
      </c>
      <c r="G29" s="39" t="s">
        <v>1312</v>
      </c>
      <c r="H29" s="39" t="s">
        <v>1313</v>
      </c>
      <c r="I29" s="40">
        <v>45964.0</v>
      </c>
      <c r="J29" s="40">
        <v>45965.0</v>
      </c>
      <c r="K29" s="40">
        <v>45966.0</v>
      </c>
      <c r="L29" s="45">
        <v>45966.0</v>
      </c>
      <c r="M29" s="45">
        <v>45966.0</v>
      </c>
      <c r="N29" s="45">
        <v>45968.0</v>
      </c>
      <c r="O29" s="39">
        <v>7.175614365E9</v>
      </c>
      <c r="P29" s="39" t="s">
        <v>1263</v>
      </c>
      <c r="Q29" s="39" t="s">
        <v>1219</v>
      </c>
      <c r="R29" s="39">
        <v>1.0</v>
      </c>
      <c r="S29" s="39">
        <v>11602.0</v>
      </c>
      <c r="T29" s="39">
        <v>15000.0</v>
      </c>
      <c r="U29" s="39">
        <v>0.0</v>
      </c>
      <c r="V29" s="39">
        <v>3398.0</v>
      </c>
      <c r="W29" s="39">
        <v>0.0</v>
      </c>
      <c r="X29" s="39">
        <v>15000.0</v>
      </c>
      <c r="Y29" s="39">
        <v>0.0</v>
      </c>
      <c r="Z29" s="39">
        <v>0.0</v>
      </c>
      <c r="AA29" s="39">
        <v>0.0</v>
      </c>
      <c r="AB29" s="39">
        <v>0.0</v>
      </c>
      <c r="AC29" s="39">
        <v>0.0</v>
      </c>
      <c r="AD29" s="39">
        <v>0.0</v>
      </c>
      <c r="AE29" s="39">
        <v>0.0</v>
      </c>
      <c r="AF29" s="39">
        <v>0.0</v>
      </c>
      <c r="AG29" s="39">
        <v>0.0</v>
      </c>
      <c r="AH29" s="39">
        <v>0.0</v>
      </c>
      <c r="AI29" s="39">
        <v>0.0</v>
      </c>
      <c r="AJ29" s="39">
        <v>0.0</v>
      </c>
      <c r="AK29" s="39">
        <v>0.0</v>
      </c>
      <c r="AL29" s="39">
        <v>4.60741062003E11</v>
      </c>
      <c r="AM29" s="39" t="s">
        <v>1209</v>
      </c>
      <c r="AN29" s="42">
        <v>0.09</v>
      </c>
      <c r="AO29" s="43">
        <v>870.0</v>
      </c>
      <c r="AP29" s="39">
        <v>0.0</v>
      </c>
      <c r="AQ29" s="39">
        <v>0.0</v>
      </c>
      <c r="AR29" s="39">
        <v>0.0</v>
      </c>
      <c r="AS29" s="39">
        <v>1500.0</v>
      </c>
      <c r="AT29" s="39">
        <v>900.0</v>
      </c>
      <c r="AU29" s="39">
        <v>600.0</v>
      </c>
      <c r="AV29" s="39">
        <v>0.0</v>
      </c>
      <c r="AW29" s="39">
        <v>0.0</v>
      </c>
      <c r="AX29" s="39">
        <v>0.0</v>
      </c>
      <c r="AY29" s="39">
        <v>0.0</v>
      </c>
      <c r="AZ29" s="39">
        <v>0.0</v>
      </c>
      <c r="BA29" s="39">
        <v>0.0</v>
      </c>
      <c r="BB29" s="39">
        <v>0.0</v>
      </c>
      <c r="BC29" s="39">
        <v>1028.0</v>
      </c>
      <c r="BD29" s="39">
        <v>0.0</v>
      </c>
      <c r="BE29" s="39">
        <v>0.0</v>
      </c>
      <c r="BF29" s="39">
        <v>0.0</v>
      </c>
      <c r="BG29" s="39">
        <v>0.0</v>
      </c>
      <c r="BH29" s="39">
        <v>0.0</v>
      </c>
      <c r="BI29" s="44"/>
    </row>
    <row r="30">
      <c r="A30" s="38">
        <f t="shared" si="1"/>
        <v>45965</v>
      </c>
      <c r="B30" s="39">
        <v>29.0</v>
      </c>
      <c r="C30" s="39" t="s">
        <v>1314</v>
      </c>
      <c r="D30" s="39">
        <v>1.0</v>
      </c>
      <c r="E30" s="39">
        <v>2.64843745E9</v>
      </c>
      <c r="F30" s="39" t="s">
        <v>1204</v>
      </c>
      <c r="G30" s="39" t="s">
        <v>1315</v>
      </c>
      <c r="H30" s="39" t="s">
        <v>1316</v>
      </c>
      <c r="I30" s="40">
        <v>45965.0</v>
      </c>
      <c r="J30" s="40">
        <v>45965.0</v>
      </c>
      <c r="K30" s="40">
        <v>45966.0</v>
      </c>
      <c r="L30" s="45">
        <v>45968.0</v>
      </c>
      <c r="M30" s="45">
        <v>45968.0</v>
      </c>
      <c r="N30" s="41">
        <v>45972.0</v>
      </c>
      <c r="O30" s="39">
        <v>6.023557551E9</v>
      </c>
      <c r="P30" s="39" t="s">
        <v>1317</v>
      </c>
      <c r="Q30" s="39" t="s">
        <v>1318</v>
      </c>
      <c r="R30" s="39">
        <v>1.0</v>
      </c>
      <c r="S30" s="39">
        <v>13827.0</v>
      </c>
      <c r="T30" s="39">
        <v>17500.0</v>
      </c>
      <c r="U30" s="39">
        <v>0.0</v>
      </c>
      <c r="V30" s="39">
        <v>3673.0</v>
      </c>
      <c r="W30" s="39">
        <v>0.0</v>
      </c>
      <c r="X30" s="39">
        <v>11000.0</v>
      </c>
      <c r="Y30" s="39">
        <v>6500.0</v>
      </c>
      <c r="Z30" s="39">
        <v>0.0</v>
      </c>
      <c r="AA30" s="39">
        <v>0.0</v>
      </c>
      <c r="AB30" s="39">
        <v>0.0</v>
      </c>
      <c r="AC30" s="39">
        <v>0.0</v>
      </c>
      <c r="AD30" s="39">
        <v>0.0</v>
      </c>
      <c r="AE30" s="39">
        <v>0.0</v>
      </c>
      <c r="AF30" s="39">
        <v>0.0</v>
      </c>
      <c r="AG30" s="39">
        <v>0.0</v>
      </c>
      <c r="AH30" s="39">
        <v>0.0</v>
      </c>
      <c r="AI30" s="39">
        <v>0.0</v>
      </c>
      <c r="AJ30" s="39">
        <v>0.0</v>
      </c>
      <c r="AK30" s="39">
        <v>0.0</v>
      </c>
      <c r="AL30" s="39">
        <v>4.60741062014E11</v>
      </c>
      <c r="AM30" s="39" t="s">
        <v>1209</v>
      </c>
      <c r="AN30" s="42">
        <v>0.09</v>
      </c>
      <c r="AO30" s="43">
        <v>743.0</v>
      </c>
      <c r="AP30" s="39">
        <v>0.0</v>
      </c>
      <c r="AQ30" s="39">
        <v>0.0</v>
      </c>
      <c r="AR30" s="39">
        <v>0.0</v>
      </c>
      <c r="AS30" s="39">
        <v>2710.0</v>
      </c>
      <c r="AT30" s="39">
        <v>1670.0</v>
      </c>
      <c r="AU30" s="39">
        <v>1040.0</v>
      </c>
      <c r="AV30" s="39">
        <v>0.0</v>
      </c>
      <c r="AW30" s="39">
        <v>0.0</v>
      </c>
      <c r="AX30" s="39">
        <v>0.0</v>
      </c>
      <c r="AY30" s="39">
        <v>0.0</v>
      </c>
      <c r="AZ30" s="39">
        <v>0.0</v>
      </c>
      <c r="BA30" s="39">
        <v>0.0</v>
      </c>
      <c r="BB30" s="39">
        <v>0.0</v>
      </c>
      <c r="BC30" s="39">
        <v>220.0</v>
      </c>
      <c r="BD30" s="39">
        <v>0.0</v>
      </c>
      <c r="BE30" s="39">
        <v>0.0</v>
      </c>
      <c r="BF30" s="39">
        <v>0.0</v>
      </c>
      <c r="BG30" s="39">
        <v>0.0</v>
      </c>
      <c r="BH30" s="39">
        <v>0.0</v>
      </c>
      <c r="BI30" s="44"/>
    </row>
    <row r="31">
      <c r="A31" s="38">
        <f t="shared" si="1"/>
        <v>45965</v>
      </c>
      <c r="B31" s="39">
        <v>30.0</v>
      </c>
      <c r="C31" s="39" t="s">
        <v>1319</v>
      </c>
      <c r="D31" s="39">
        <v>1.0</v>
      </c>
      <c r="E31" s="39">
        <v>2.648439049E9</v>
      </c>
      <c r="F31" s="39" t="s">
        <v>1204</v>
      </c>
      <c r="G31" s="39" t="s">
        <v>1320</v>
      </c>
      <c r="H31" s="39" t="s">
        <v>1321</v>
      </c>
      <c r="I31" s="40">
        <v>45965.0</v>
      </c>
      <c r="J31" s="40">
        <v>45965.0</v>
      </c>
      <c r="K31" s="40">
        <v>45966.0</v>
      </c>
      <c r="L31" s="41">
        <v>45972.0</v>
      </c>
      <c r="M31" s="41">
        <v>45972.0</v>
      </c>
      <c r="N31" s="41">
        <v>45974.0</v>
      </c>
      <c r="O31" s="39">
        <v>6.422434702E9</v>
      </c>
      <c r="P31" s="39" t="s">
        <v>1223</v>
      </c>
      <c r="Q31" s="39" t="s">
        <v>1224</v>
      </c>
      <c r="R31" s="39">
        <v>1.0</v>
      </c>
      <c r="S31" s="39">
        <v>15937.0</v>
      </c>
      <c r="T31" s="39">
        <v>19900.0</v>
      </c>
      <c r="U31" s="39">
        <v>0.0</v>
      </c>
      <c r="V31" s="39">
        <v>3963.0</v>
      </c>
      <c r="W31" s="39">
        <v>0.0</v>
      </c>
      <c r="X31" s="39">
        <v>19900.0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</v>
      </c>
      <c r="AE31" s="39">
        <v>0.0</v>
      </c>
      <c r="AF31" s="39">
        <v>0.0</v>
      </c>
      <c r="AG31" s="39">
        <v>0.0</v>
      </c>
      <c r="AH31" s="39">
        <v>0.0</v>
      </c>
      <c r="AI31" s="39">
        <v>0.0</v>
      </c>
      <c r="AJ31" s="39">
        <v>0.0</v>
      </c>
      <c r="AK31" s="39">
        <v>0.0</v>
      </c>
      <c r="AL31" s="39">
        <v>4.60741062036E11</v>
      </c>
      <c r="AM31" s="39" t="s">
        <v>1209</v>
      </c>
      <c r="AN31" s="42">
        <v>0.11</v>
      </c>
      <c r="AO31" s="43">
        <v>1557.0</v>
      </c>
      <c r="AP31" s="39">
        <v>0.0</v>
      </c>
      <c r="AQ31" s="39">
        <v>0.0</v>
      </c>
      <c r="AR31" s="39">
        <v>0.0</v>
      </c>
      <c r="AS31" s="39">
        <v>1990.0</v>
      </c>
      <c r="AT31" s="39">
        <v>1200.0</v>
      </c>
      <c r="AU31" s="39">
        <v>790.0</v>
      </c>
      <c r="AV31" s="39">
        <v>0.0</v>
      </c>
      <c r="AW31" s="39">
        <v>0.0</v>
      </c>
      <c r="AX31" s="39">
        <v>0.0</v>
      </c>
      <c r="AY31" s="39">
        <v>0.0</v>
      </c>
      <c r="AZ31" s="39">
        <v>0.0</v>
      </c>
      <c r="BA31" s="39">
        <v>0.0</v>
      </c>
      <c r="BB31" s="39">
        <v>0.0</v>
      </c>
      <c r="BC31" s="39">
        <v>416.0</v>
      </c>
      <c r="BD31" s="39">
        <v>0.0</v>
      </c>
      <c r="BE31" s="39">
        <v>0.0</v>
      </c>
      <c r="BF31" s="39">
        <v>0.0</v>
      </c>
      <c r="BG31" s="39">
        <v>0.0</v>
      </c>
      <c r="BH31" s="39">
        <v>0.0</v>
      </c>
      <c r="BI31" s="44"/>
    </row>
    <row r="32">
      <c r="A32" s="38">
        <f t="shared" si="1"/>
        <v>45965</v>
      </c>
      <c r="B32" s="39">
        <v>31.0</v>
      </c>
      <c r="C32" s="39" t="s">
        <v>1322</v>
      </c>
      <c r="D32" s="39">
        <v>2.0</v>
      </c>
      <c r="E32" s="39">
        <v>2.648486433E9</v>
      </c>
      <c r="F32" s="39" t="s">
        <v>1204</v>
      </c>
      <c r="G32" s="39" t="s">
        <v>1323</v>
      </c>
      <c r="H32" s="39" t="s">
        <v>1324</v>
      </c>
      <c r="I32" s="40">
        <v>45965.0</v>
      </c>
      <c r="J32" s="40">
        <v>45965.0</v>
      </c>
      <c r="K32" s="40">
        <v>45966.0</v>
      </c>
      <c r="L32" s="41">
        <v>45974.0</v>
      </c>
      <c r="M32" s="41">
        <v>45974.0</v>
      </c>
      <c r="N32" s="41">
        <v>45978.0</v>
      </c>
      <c r="O32" s="39">
        <v>7.29772671E9</v>
      </c>
      <c r="P32" s="39" t="s">
        <v>1325</v>
      </c>
      <c r="Q32" s="39" t="s">
        <v>1326</v>
      </c>
      <c r="R32" s="39">
        <v>10.0</v>
      </c>
      <c r="S32" s="39">
        <v>75070.0</v>
      </c>
      <c r="T32" s="39">
        <v>199000.0</v>
      </c>
      <c r="U32" s="39">
        <v>0.0</v>
      </c>
      <c r="V32" s="39">
        <v>123930.0</v>
      </c>
      <c r="W32" s="39">
        <v>0.0</v>
      </c>
      <c r="X32" s="39">
        <v>199000.0</v>
      </c>
      <c r="Y32" s="39">
        <v>0.0</v>
      </c>
      <c r="Z32" s="39">
        <v>0.0</v>
      </c>
      <c r="AA32" s="39">
        <v>0.0</v>
      </c>
      <c r="AB32" s="39">
        <v>0.0</v>
      </c>
      <c r="AC32" s="39">
        <v>0.0</v>
      </c>
      <c r="AD32" s="39">
        <v>0.0</v>
      </c>
      <c r="AE32" s="39">
        <v>0.0</v>
      </c>
      <c r="AF32" s="39">
        <v>0.0</v>
      </c>
      <c r="AG32" s="39">
        <v>0.0</v>
      </c>
      <c r="AH32" s="39">
        <v>0.0</v>
      </c>
      <c r="AI32" s="39">
        <v>0.0</v>
      </c>
      <c r="AJ32" s="39">
        <v>0.0</v>
      </c>
      <c r="AK32" s="39">
        <v>0.0</v>
      </c>
      <c r="AL32" s="39">
        <v>4.6074106204E11</v>
      </c>
      <c r="AM32" s="39" t="s">
        <v>1209</v>
      </c>
      <c r="AN32" s="42">
        <v>0.09</v>
      </c>
      <c r="AO32" s="43">
        <v>11830.0</v>
      </c>
      <c r="AP32" s="39">
        <v>0.0</v>
      </c>
      <c r="AQ32" s="39">
        <v>0.0</v>
      </c>
      <c r="AR32" s="39">
        <v>0.0</v>
      </c>
      <c r="AS32" s="39">
        <v>91000.0</v>
      </c>
      <c r="AT32" s="39">
        <v>83400.0</v>
      </c>
      <c r="AU32" s="39">
        <v>7600.0</v>
      </c>
      <c r="AV32" s="39">
        <v>0.0</v>
      </c>
      <c r="AW32" s="39">
        <v>20000.0</v>
      </c>
      <c r="AX32" s="39">
        <v>0.0</v>
      </c>
      <c r="AY32" s="39">
        <v>0.0</v>
      </c>
      <c r="AZ32" s="39">
        <v>0.0</v>
      </c>
      <c r="BA32" s="39">
        <v>0.0</v>
      </c>
      <c r="BB32" s="39">
        <v>0.0</v>
      </c>
      <c r="BC32" s="39">
        <v>1100.0</v>
      </c>
      <c r="BD32" s="39">
        <v>0.0</v>
      </c>
      <c r="BE32" s="39">
        <v>0.0</v>
      </c>
      <c r="BF32" s="39">
        <v>0.0</v>
      </c>
      <c r="BG32" s="39">
        <v>0.0</v>
      </c>
      <c r="BH32" s="39">
        <v>0.0</v>
      </c>
      <c r="BI32" s="44"/>
    </row>
    <row r="33">
      <c r="A33" s="38">
        <f t="shared" si="1"/>
        <v>45965</v>
      </c>
      <c r="B33" s="39">
        <v>32.0</v>
      </c>
      <c r="C33" s="39" t="s">
        <v>1322</v>
      </c>
      <c r="D33" s="39">
        <v>3.0</v>
      </c>
      <c r="E33" s="39">
        <v>2.648486433E9</v>
      </c>
      <c r="F33" s="39" t="s">
        <v>1204</v>
      </c>
      <c r="G33" s="39" t="s">
        <v>1323</v>
      </c>
      <c r="H33" s="39" t="s">
        <v>1324</v>
      </c>
      <c r="I33" s="40">
        <v>45965.0</v>
      </c>
      <c r="J33" s="40">
        <v>45965.0</v>
      </c>
      <c r="K33" s="40">
        <v>45966.0</v>
      </c>
      <c r="L33" s="41">
        <v>45974.0</v>
      </c>
      <c r="M33" s="41">
        <v>45974.0</v>
      </c>
      <c r="N33" s="41">
        <v>45978.0</v>
      </c>
      <c r="O33" s="39">
        <v>7.29772671E9</v>
      </c>
      <c r="P33" s="39" t="s">
        <v>1325</v>
      </c>
      <c r="Q33" s="39" t="s">
        <v>1327</v>
      </c>
      <c r="R33" s="39">
        <v>10.0</v>
      </c>
      <c r="S33" s="39">
        <v>73070.0</v>
      </c>
      <c r="T33" s="39">
        <v>199000.0</v>
      </c>
      <c r="U33" s="39">
        <v>0.0</v>
      </c>
      <c r="V33" s="39">
        <v>125930.0</v>
      </c>
      <c r="W33" s="39">
        <v>0.0</v>
      </c>
      <c r="X33" s="39">
        <v>199000.0</v>
      </c>
      <c r="Y33" s="39">
        <v>0.0</v>
      </c>
      <c r="Z33" s="39">
        <v>0.0</v>
      </c>
      <c r="AA33" s="39">
        <v>0.0</v>
      </c>
      <c r="AB33" s="39">
        <v>0.0</v>
      </c>
      <c r="AC33" s="39">
        <v>0.0</v>
      </c>
      <c r="AD33" s="39">
        <v>0.0</v>
      </c>
      <c r="AE33" s="39">
        <v>0.0</v>
      </c>
      <c r="AF33" s="39">
        <v>0.0</v>
      </c>
      <c r="AG33" s="39">
        <v>0.0</v>
      </c>
      <c r="AH33" s="39">
        <v>0.0</v>
      </c>
      <c r="AI33" s="39">
        <v>0.0</v>
      </c>
      <c r="AJ33" s="39">
        <v>0.0</v>
      </c>
      <c r="AK33" s="39">
        <v>0.0</v>
      </c>
      <c r="AL33" s="39">
        <v>4.6074106204E11</v>
      </c>
      <c r="AM33" s="39" t="s">
        <v>1209</v>
      </c>
      <c r="AN33" s="42">
        <v>0.09</v>
      </c>
      <c r="AO33" s="43">
        <v>11830.0</v>
      </c>
      <c r="AP33" s="39">
        <v>0.0</v>
      </c>
      <c r="AQ33" s="39">
        <v>0.0</v>
      </c>
      <c r="AR33" s="39">
        <v>0.0</v>
      </c>
      <c r="AS33" s="39">
        <v>93000.0</v>
      </c>
      <c r="AT33" s="39">
        <v>85400.0</v>
      </c>
      <c r="AU33" s="39">
        <v>7600.0</v>
      </c>
      <c r="AV33" s="39">
        <v>0.0</v>
      </c>
      <c r="AW33" s="39">
        <v>20000.0</v>
      </c>
      <c r="AX33" s="39">
        <v>0.0</v>
      </c>
      <c r="AY33" s="39">
        <v>0.0</v>
      </c>
      <c r="AZ33" s="39">
        <v>0.0</v>
      </c>
      <c r="BA33" s="39">
        <v>0.0</v>
      </c>
      <c r="BB33" s="39">
        <v>0.0</v>
      </c>
      <c r="BC33" s="39">
        <v>1100.0</v>
      </c>
      <c r="BD33" s="39">
        <v>0.0</v>
      </c>
      <c r="BE33" s="39">
        <v>0.0</v>
      </c>
      <c r="BF33" s="39">
        <v>0.0</v>
      </c>
      <c r="BG33" s="39">
        <v>0.0</v>
      </c>
      <c r="BH33" s="39">
        <v>0.0</v>
      </c>
      <c r="BI33" s="44"/>
    </row>
    <row r="34">
      <c r="A34" s="38">
        <f t="shared" si="1"/>
        <v>45965</v>
      </c>
      <c r="B34" s="39">
        <v>33.0</v>
      </c>
      <c r="C34" s="39" t="s">
        <v>1322</v>
      </c>
      <c r="D34" s="39">
        <v>1.0</v>
      </c>
      <c r="E34" s="39">
        <v>2.648486433E9</v>
      </c>
      <c r="F34" s="39" t="s">
        <v>1204</v>
      </c>
      <c r="G34" s="39" t="s">
        <v>1323</v>
      </c>
      <c r="H34" s="39" t="s">
        <v>1324</v>
      </c>
      <c r="I34" s="40">
        <v>45965.0</v>
      </c>
      <c r="J34" s="40">
        <v>45965.0</v>
      </c>
      <c r="K34" s="40">
        <v>45966.0</v>
      </c>
      <c r="L34" s="41">
        <v>45974.0</v>
      </c>
      <c r="M34" s="41">
        <v>45974.0</v>
      </c>
      <c r="N34" s="41">
        <v>45978.0</v>
      </c>
      <c r="O34" s="39">
        <v>7.29772671E9</v>
      </c>
      <c r="P34" s="39" t="s">
        <v>1325</v>
      </c>
      <c r="Q34" s="39" t="s">
        <v>1328</v>
      </c>
      <c r="R34" s="39">
        <v>10.0</v>
      </c>
      <c r="S34" s="39">
        <v>75070.0</v>
      </c>
      <c r="T34" s="39">
        <v>199000.0</v>
      </c>
      <c r="U34" s="39">
        <v>0.0</v>
      </c>
      <c r="V34" s="39">
        <v>123930.0</v>
      </c>
      <c r="W34" s="39">
        <v>0.0</v>
      </c>
      <c r="X34" s="39">
        <v>199000.0</v>
      </c>
      <c r="Y34" s="39">
        <v>0.0</v>
      </c>
      <c r="Z34" s="39">
        <v>0.0</v>
      </c>
      <c r="AA34" s="39">
        <v>0.0</v>
      </c>
      <c r="AB34" s="39">
        <v>0.0</v>
      </c>
      <c r="AC34" s="39">
        <v>0.0</v>
      </c>
      <c r="AD34" s="39">
        <v>0.0</v>
      </c>
      <c r="AE34" s="39">
        <v>0.0</v>
      </c>
      <c r="AF34" s="39">
        <v>0.0</v>
      </c>
      <c r="AG34" s="39">
        <v>0.0</v>
      </c>
      <c r="AH34" s="39">
        <v>0.0</v>
      </c>
      <c r="AI34" s="39">
        <v>0.0</v>
      </c>
      <c r="AJ34" s="39">
        <v>0.0</v>
      </c>
      <c r="AK34" s="39">
        <v>0.0</v>
      </c>
      <c r="AL34" s="39">
        <v>4.6074106204E11</v>
      </c>
      <c r="AM34" s="39" t="s">
        <v>1209</v>
      </c>
      <c r="AN34" s="42">
        <v>0.09</v>
      </c>
      <c r="AO34" s="43">
        <v>11830.0</v>
      </c>
      <c r="AP34" s="39">
        <v>0.0</v>
      </c>
      <c r="AQ34" s="39">
        <v>0.0</v>
      </c>
      <c r="AR34" s="39">
        <v>0.0</v>
      </c>
      <c r="AS34" s="39">
        <v>91000.0</v>
      </c>
      <c r="AT34" s="39">
        <v>83400.0</v>
      </c>
      <c r="AU34" s="39">
        <v>7600.0</v>
      </c>
      <c r="AV34" s="39">
        <v>0.0</v>
      </c>
      <c r="AW34" s="39">
        <v>20000.0</v>
      </c>
      <c r="AX34" s="39">
        <v>0.0</v>
      </c>
      <c r="AY34" s="39">
        <v>0.0</v>
      </c>
      <c r="AZ34" s="39">
        <v>0.0</v>
      </c>
      <c r="BA34" s="39">
        <v>0.0</v>
      </c>
      <c r="BB34" s="39">
        <v>0.0</v>
      </c>
      <c r="BC34" s="39">
        <v>1100.0</v>
      </c>
      <c r="BD34" s="39">
        <v>0.0</v>
      </c>
      <c r="BE34" s="39">
        <v>0.0</v>
      </c>
      <c r="BF34" s="39">
        <v>0.0</v>
      </c>
      <c r="BG34" s="39">
        <v>0.0</v>
      </c>
      <c r="BH34" s="39">
        <v>0.0</v>
      </c>
      <c r="BI34" s="44"/>
    </row>
    <row r="35">
      <c r="A35" s="38">
        <f t="shared" si="1"/>
        <v>45965</v>
      </c>
      <c r="B35" s="39">
        <v>34.0</v>
      </c>
      <c r="C35" s="39" t="s">
        <v>1329</v>
      </c>
      <c r="D35" s="39">
        <v>1.0</v>
      </c>
      <c r="E35" s="39">
        <v>2.648592446E9</v>
      </c>
      <c r="F35" s="39" t="s">
        <v>1204</v>
      </c>
      <c r="G35" s="39" t="s">
        <v>1330</v>
      </c>
      <c r="H35" s="39" t="s">
        <v>1331</v>
      </c>
      <c r="I35" s="40">
        <v>45965.0</v>
      </c>
      <c r="J35" s="40">
        <v>45965.0</v>
      </c>
      <c r="K35" s="40">
        <v>45966.0</v>
      </c>
      <c r="L35" s="45">
        <v>45967.0</v>
      </c>
      <c r="M35" s="45">
        <v>45967.0</v>
      </c>
      <c r="N35" s="41">
        <v>45971.0</v>
      </c>
      <c r="O35" s="39">
        <v>7.175614365E9</v>
      </c>
      <c r="P35" s="39" t="s">
        <v>1263</v>
      </c>
      <c r="Q35" s="39" t="s">
        <v>1219</v>
      </c>
      <c r="R35" s="39">
        <v>1.0</v>
      </c>
      <c r="S35" s="39">
        <v>12520.0</v>
      </c>
      <c r="T35" s="39">
        <v>15000.0</v>
      </c>
      <c r="U35" s="39">
        <v>0.0</v>
      </c>
      <c r="V35" s="39">
        <v>2480.0</v>
      </c>
      <c r="W35" s="39">
        <v>0.0</v>
      </c>
      <c r="X35" s="39">
        <v>15000.0</v>
      </c>
      <c r="Y35" s="39">
        <v>0.0</v>
      </c>
      <c r="Z35" s="39">
        <v>0.0</v>
      </c>
      <c r="AA35" s="39">
        <v>0.0</v>
      </c>
      <c r="AB35" s="39">
        <v>0.0</v>
      </c>
      <c r="AC35" s="39">
        <v>0.0</v>
      </c>
      <c r="AD35" s="39">
        <v>0.0</v>
      </c>
      <c r="AE35" s="39">
        <v>0.0</v>
      </c>
      <c r="AF35" s="39">
        <v>0.0</v>
      </c>
      <c r="AG35" s="39">
        <v>0.0</v>
      </c>
      <c r="AH35" s="39">
        <v>0.0</v>
      </c>
      <c r="AI35" s="39">
        <v>0.0</v>
      </c>
      <c r="AJ35" s="39">
        <v>0.0</v>
      </c>
      <c r="AK35" s="39">
        <v>0.0</v>
      </c>
      <c r="AL35" s="39">
        <v>4.60747987501E11</v>
      </c>
      <c r="AM35" s="39" t="s">
        <v>1209</v>
      </c>
      <c r="AN35" s="42">
        <v>0.09</v>
      </c>
      <c r="AO35" s="43">
        <v>870.0</v>
      </c>
      <c r="AP35" s="39">
        <v>0.0</v>
      </c>
      <c r="AQ35" s="39">
        <v>0.0</v>
      </c>
      <c r="AR35" s="39">
        <v>0.0</v>
      </c>
      <c r="AS35" s="39">
        <v>1500.0</v>
      </c>
      <c r="AT35" s="39">
        <v>900.0</v>
      </c>
      <c r="AU35" s="39">
        <v>600.0</v>
      </c>
      <c r="AV35" s="39">
        <v>0.0</v>
      </c>
      <c r="AW35" s="39">
        <v>0.0</v>
      </c>
      <c r="AX35" s="39">
        <v>0.0</v>
      </c>
      <c r="AY35" s="39">
        <v>0.0</v>
      </c>
      <c r="AZ35" s="39">
        <v>0.0</v>
      </c>
      <c r="BA35" s="39">
        <v>0.0</v>
      </c>
      <c r="BB35" s="39">
        <v>0.0</v>
      </c>
      <c r="BC35" s="39">
        <v>110.0</v>
      </c>
      <c r="BD35" s="39">
        <v>0.0</v>
      </c>
      <c r="BE35" s="39">
        <v>0.0</v>
      </c>
      <c r="BF35" s="39">
        <v>0.0</v>
      </c>
      <c r="BG35" s="39">
        <v>0.0</v>
      </c>
      <c r="BH35" s="39">
        <v>0.0</v>
      </c>
      <c r="BI35" s="44"/>
    </row>
    <row r="36">
      <c r="A36" s="38">
        <f t="shared" si="1"/>
        <v>45965</v>
      </c>
      <c r="B36" s="39">
        <v>35.0</v>
      </c>
      <c r="C36" s="39">
        <v>2.02511040098074E16</v>
      </c>
      <c r="D36" s="39">
        <v>2.0</v>
      </c>
      <c r="E36" s="39">
        <v>2.648670646E9</v>
      </c>
      <c r="F36" s="39" t="s">
        <v>1204</v>
      </c>
      <c r="G36" s="39" t="s">
        <v>1332</v>
      </c>
      <c r="H36" s="39" t="s">
        <v>1333</v>
      </c>
      <c r="I36" s="40">
        <v>45965.0</v>
      </c>
      <c r="J36" s="40">
        <v>45965.0</v>
      </c>
      <c r="K36" s="40">
        <v>45966.0</v>
      </c>
      <c r="L36" s="41">
        <v>45974.0</v>
      </c>
      <c r="M36" s="41">
        <v>45974.0</v>
      </c>
      <c r="N36" s="41">
        <v>45978.0</v>
      </c>
      <c r="O36" s="39">
        <v>6.342749718E9</v>
      </c>
      <c r="P36" s="39" t="s">
        <v>1213</v>
      </c>
      <c r="Q36" s="39" t="s">
        <v>1334</v>
      </c>
      <c r="R36" s="39">
        <v>9.0</v>
      </c>
      <c r="S36" s="39">
        <v>213306.0</v>
      </c>
      <c r="T36" s="39">
        <v>531000.0</v>
      </c>
      <c r="U36" s="39">
        <v>0.0</v>
      </c>
      <c r="V36" s="39">
        <v>317694.0</v>
      </c>
      <c r="W36" s="39">
        <v>0.0</v>
      </c>
      <c r="X36" s="39">
        <v>531000.0</v>
      </c>
      <c r="Y36" s="39">
        <v>0.0</v>
      </c>
      <c r="Z36" s="39">
        <v>0.0</v>
      </c>
      <c r="AA36" s="39">
        <v>0.0</v>
      </c>
      <c r="AB36" s="39">
        <v>0.0</v>
      </c>
      <c r="AC36" s="39">
        <v>0.0</v>
      </c>
      <c r="AD36" s="39">
        <v>0.0</v>
      </c>
      <c r="AE36" s="39">
        <v>0.0</v>
      </c>
      <c r="AF36" s="39">
        <v>0.0</v>
      </c>
      <c r="AG36" s="39">
        <v>0.0</v>
      </c>
      <c r="AH36" s="39">
        <v>0.0</v>
      </c>
      <c r="AI36" s="39">
        <v>0.0</v>
      </c>
      <c r="AJ36" s="39">
        <v>0.0</v>
      </c>
      <c r="AK36" s="39">
        <v>0.0</v>
      </c>
      <c r="AL36" s="39">
        <v>4.60748123334E11</v>
      </c>
      <c r="AM36" s="39" t="s">
        <v>1209</v>
      </c>
      <c r="AN36" s="42">
        <v>0.09</v>
      </c>
      <c r="AO36" s="43">
        <v>32734.0</v>
      </c>
      <c r="AP36" s="39">
        <v>0.0</v>
      </c>
      <c r="AQ36" s="39">
        <v>0.0</v>
      </c>
      <c r="AR36" s="39">
        <v>0.0</v>
      </c>
      <c r="AS36" s="39">
        <v>265970.0</v>
      </c>
      <c r="AT36" s="39">
        <v>247150.0</v>
      </c>
      <c r="AU36" s="39">
        <v>18820.0</v>
      </c>
      <c r="AV36" s="39">
        <v>0.0</v>
      </c>
      <c r="AW36" s="39">
        <v>18000.0</v>
      </c>
      <c r="AX36" s="39">
        <v>0.0</v>
      </c>
      <c r="AY36" s="39">
        <v>0.0</v>
      </c>
      <c r="AZ36" s="39">
        <v>0.0</v>
      </c>
      <c r="BA36" s="39">
        <v>0.0</v>
      </c>
      <c r="BB36" s="39">
        <v>0.0</v>
      </c>
      <c r="BC36" s="39">
        <v>990.0</v>
      </c>
      <c r="BD36" s="39">
        <v>0.0</v>
      </c>
      <c r="BE36" s="39">
        <v>0.0</v>
      </c>
      <c r="BF36" s="39">
        <v>0.0</v>
      </c>
      <c r="BG36" s="39">
        <v>0.0</v>
      </c>
      <c r="BH36" s="39">
        <v>0.0</v>
      </c>
      <c r="BI36" s="44"/>
    </row>
    <row r="37">
      <c r="A37" s="38">
        <f t="shared" si="1"/>
        <v>45965</v>
      </c>
      <c r="B37" s="39">
        <v>36.0</v>
      </c>
      <c r="C37" s="39">
        <v>2.02511040098074E16</v>
      </c>
      <c r="D37" s="39">
        <v>1.0</v>
      </c>
      <c r="E37" s="39">
        <v>2.648670646E9</v>
      </c>
      <c r="F37" s="39" t="s">
        <v>1204</v>
      </c>
      <c r="G37" s="39" t="s">
        <v>1332</v>
      </c>
      <c r="H37" s="39" t="s">
        <v>1333</v>
      </c>
      <c r="I37" s="40">
        <v>45965.0</v>
      </c>
      <c r="J37" s="40">
        <v>45965.0</v>
      </c>
      <c r="K37" s="40">
        <v>45966.0</v>
      </c>
      <c r="L37" s="41">
        <v>45974.0</v>
      </c>
      <c r="M37" s="41">
        <v>45974.0</v>
      </c>
      <c r="N37" s="41">
        <v>45978.0</v>
      </c>
      <c r="O37" s="39">
        <v>6.342749718E9</v>
      </c>
      <c r="P37" s="39" t="s">
        <v>1213</v>
      </c>
      <c r="Q37" s="39" t="s">
        <v>1335</v>
      </c>
      <c r="R37" s="39">
        <v>10.0</v>
      </c>
      <c r="S37" s="39">
        <v>237236.0</v>
      </c>
      <c r="T37" s="39">
        <v>590000.0</v>
      </c>
      <c r="U37" s="39">
        <v>0.0</v>
      </c>
      <c r="V37" s="39">
        <v>352764.0</v>
      </c>
      <c r="W37" s="39">
        <v>226892.0</v>
      </c>
      <c r="X37" s="39">
        <v>590000.0</v>
      </c>
      <c r="Y37" s="39">
        <v>0.0</v>
      </c>
      <c r="Z37" s="39">
        <v>0.0</v>
      </c>
      <c r="AA37" s="39">
        <v>0.0</v>
      </c>
      <c r="AB37" s="39">
        <v>0.0</v>
      </c>
      <c r="AC37" s="39">
        <v>0.0</v>
      </c>
      <c r="AD37" s="39">
        <v>0.0</v>
      </c>
      <c r="AE37" s="39">
        <v>0.0</v>
      </c>
      <c r="AF37" s="39">
        <v>0.0</v>
      </c>
      <c r="AG37" s="39">
        <v>0.0</v>
      </c>
      <c r="AH37" s="39">
        <v>0.0</v>
      </c>
      <c r="AI37" s="39">
        <v>0.0</v>
      </c>
      <c r="AJ37" s="39">
        <v>0.0</v>
      </c>
      <c r="AK37" s="39">
        <v>0.0</v>
      </c>
      <c r="AL37" s="39">
        <v>4.60748123334E11</v>
      </c>
      <c r="AM37" s="39" t="s">
        <v>1209</v>
      </c>
      <c r="AN37" s="42">
        <v>0.09</v>
      </c>
      <c r="AO37" s="43">
        <v>36364.0</v>
      </c>
      <c r="AP37" s="39">
        <v>0.0</v>
      </c>
      <c r="AQ37" s="39">
        <v>0.0</v>
      </c>
      <c r="AR37" s="39">
        <v>0.0</v>
      </c>
      <c r="AS37" s="39">
        <v>295300.0</v>
      </c>
      <c r="AT37" s="39">
        <v>274380.0</v>
      </c>
      <c r="AU37" s="39">
        <v>20920.0</v>
      </c>
      <c r="AV37" s="39">
        <v>0.0</v>
      </c>
      <c r="AW37" s="39">
        <v>20000.0</v>
      </c>
      <c r="AX37" s="39">
        <v>0.0</v>
      </c>
      <c r="AY37" s="39">
        <v>0.0</v>
      </c>
      <c r="AZ37" s="39">
        <v>0.0</v>
      </c>
      <c r="BA37" s="39">
        <v>0.0</v>
      </c>
      <c r="BB37" s="39">
        <v>0.0</v>
      </c>
      <c r="BC37" s="39">
        <v>1100.0</v>
      </c>
      <c r="BD37" s="39">
        <v>0.0</v>
      </c>
      <c r="BE37" s="39">
        <v>0.0</v>
      </c>
      <c r="BF37" s="39">
        <v>0.0</v>
      </c>
      <c r="BG37" s="39">
        <v>0.0</v>
      </c>
      <c r="BH37" s="39">
        <v>0.0</v>
      </c>
      <c r="BI37" s="44"/>
    </row>
    <row r="38">
      <c r="A38" s="38">
        <f t="shared" si="1"/>
        <v>45965</v>
      </c>
      <c r="B38" s="39">
        <v>37.0</v>
      </c>
      <c r="C38" s="39" t="s">
        <v>1336</v>
      </c>
      <c r="D38" s="39">
        <v>1.0</v>
      </c>
      <c r="E38" s="39">
        <v>2.648707796E9</v>
      </c>
      <c r="F38" s="39" t="s">
        <v>1204</v>
      </c>
      <c r="G38" s="39" t="s">
        <v>1337</v>
      </c>
      <c r="H38" s="39" t="s">
        <v>1338</v>
      </c>
      <c r="I38" s="40">
        <v>45965.0</v>
      </c>
      <c r="J38" s="40">
        <v>45966.0</v>
      </c>
      <c r="K38" s="40">
        <v>45967.0</v>
      </c>
      <c r="L38" s="41">
        <v>45975.0</v>
      </c>
      <c r="M38" s="41">
        <v>45975.0</v>
      </c>
      <c r="N38" s="41">
        <v>45979.0</v>
      </c>
      <c r="O38" s="39">
        <v>6.363337566E9</v>
      </c>
      <c r="P38" s="39" t="s">
        <v>1301</v>
      </c>
      <c r="Q38" s="39" t="s">
        <v>1219</v>
      </c>
      <c r="R38" s="39">
        <v>1.0</v>
      </c>
      <c r="S38" s="39">
        <v>37646.0</v>
      </c>
      <c r="T38" s="39">
        <v>48000.0</v>
      </c>
      <c r="U38" s="39">
        <v>0.0</v>
      </c>
      <c r="V38" s="39">
        <v>10354.0</v>
      </c>
      <c r="W38" s="39">
        <v>0.0</v>
      </c>
      <c r="X38" s="39">
        <v>48000.0</v>
      </c>
      <c r="Y38" s="39">
        <v>0.0</v>
      </c>
      <c r="Z38" s="39">
        <v>0.0</v>
      </c>
      <c r="AA38" s="39">
        <v>0.0</v>
      </c>
      <c r="AB38" s="39">
        <v>0.0</v>
      </c>
      <c r="AC38" s="39">
        <v>0.0</v>
      </c>
      <c r="AD38" s="39">
        <v>0.0</v>
      </c>
      <c r="AE38" s="39">
        <v>0.0</v>
      </c>
      <c r="AF38" s="39">
        <v>0.0</v>
      </c>
      <c r="AG38" s="39">
        <v>0.0</v>
      </c>
      <c r="AH38" s="39">
        <v>0.0</v>
      </c>
      <c r="AI38" s="39">
        <v>0.0</v>
      </c>
      <c r="AJ38" s="39">
        <v>0.0</v>
      </c>
      <c r="AK38" s="39">
        <v>0.0</v>
      </c>
      <c r="AL38" s="39">
        <v>4.60752249624E11</v>
      </c>
      <c r="AM38" s="39" t="s">
        <v>1209</v>
      </c>
      <c r="AN38" s="42">
        <v>0.09</v>
      </c>
      <c r="AO38" s="43">
        <v>2792.0</v>
      </c>
      <c r="AP38" s="39">
        <v>0.0</v>
      </c>
      <c r="AQ38" s="39">
        <v>0.0</v>
      </c>
      <c r="AR38" s="39">
        <v>0.0</v>
      </c>
      <c r="AS38" s="39">
        <v>6890.0</v>
      </c>
      <c r="AT38" s="39">
        <v>4980.0</v>
      </c>
      <c r="AU38" s="39">
        <v>1910.0</v>
      </c>
      <c r="AV38" s="39">
        <v>0.0</v>
      </c>
      <c r="AW38" s="39">
        <v>0.0</v>
      </c>
      <c r="AX38" s="39">
        <v>0.0</v>
      </c>
      <c r="AY38" s="39">
        <v>0.0</v>
      </c>
      <c r="AZ38" s="39">
        <v>0.0</v>
      </c>
      <c r="BA38" s="39">
        <v>0.0</v>
      </c>
      <c r="BB38" s="39">
        <v>0.0</v>
      </c>
      <c r="BC38" s="39">
        <v>672.0</v>
      </c>
      <c r="BD38" s="39">
        <v>0.0</v>
      </c>
      <c r="BE38" s="39">
        <v>0.0</v>
      </c>
      <c r="BF38" s="39">
        <v>0.0</v>
      </c>
      <c r="BG38" s="39">
        <v>0.0</v>
      </c>
      <c r="BH38" s="39">
        <v>0.0</v>
      </c>
      <c r="BI38" s="44"/>
    </row>
    <row r="39">
      <c r="A39" s="38">
        <f t="shared" si="1"/>
        <v>45965</v>
      </c>
      <c r="B39" s="39">
        <v>38.0</v>
      </c>
      <c r="C39" s="39" t="s">
        <v>1339</v>
      </c>
      <c r="D39" s="39">
        <v>1.0</v>
      </c>
      <c r="E39" s="39">
        <v>2.648829959E9</v>
      </c>
      <c r="F39" s="39" t="s">
        <v>1204</v>
      </c>
      <c r="G39" s="39" t="s">
        <v>1118</v>
      </c>
      <c r="H39" s="39" t="s">
        <v>1340</v>
      </c>
      <c r="I39" s="40">
        <v>45965.0</v>
      </c>
      <c r="J39" s="40">
        <v>45966.0</v>
      </c>
      <c r="K39" s="40">
        <v>45967.0</v>
      </c>
      <c r="L39" s="41">
        <v>45975.0</v>
      </c>
      <c r="M39" s="41">
        <v>45975.0</v>
      </c>
      <c r="N39" s="41">
        <v>45979.0</v>
      </c>
      <c r="O39" s="39">
        <v>6.342749718E9</v>
      </c>
      <c r="P39" s="39" t="s">
        <v>1213</v>
      </c>
      <c r="Q39" s="39" t="s">
        <v>1251</v>
      </c>
      <c r="R39" s="39">
        <v>1.0</v>
      </c>
      <c r="S39" s="39">
        <v>21592.0</v>
      </c>
      <c r="T39" s="39">
        <v>59000.0</v>
      </c>
      <c r="U39" s="39">
        <v>0.0</v>
      </c>
      <c r="V39" s="39">
        <v>37408.0</v>
      </c>
      <c r="W39" s="39">
        <v>21592.0</v>
      </c>
      <c r="X39" s="39">
        <v>59000.0</v>
      </c>
      <c r="Y39" s="39">
        <v>0.0</v>
      </c>
      <c r="Z39" s="39">
        <v>0.0</v>
      </c>
      <c r="AA39" s="39">
        <v>0.0</v>
      </c>
      <c r="AB39" s="39">
        <v>0.0</v>
      </c>
      <c r="AC39" s="39">
        <v>0.0</v>
      </c>
      <c r="AD39" s="39">
        <v>0.0</v>
      </c>
      <c r="AE39" s="39">
        <v>0.0</v>
      </c>
      <c r="AF39" s="39">
        <v>0.0</v>
      </c>
      <c r="AG39" s="39">
        <v>0.0</v>
      </c>
      <c r="AH39" s="39">
        <v>0.0</v>
      </c>
      <c r="AI39" s="39">
        <v>0.0</v>
      </c>
      <c r="AJ39" s="39">
        <v>0.0</v>
      </c>
      <c r="AK39" s="39">
        <v>0.0</v>
      </c>
      <c r="AL39" s="39">
        <v>4.60752249635E11</v>
      </c>
      <c r="AM39" s="39" t="s">
        <v>1209</v>
      </c>
      <c r="AN39" s="42">
        <v>0.09</v>
      </c>
      <c r="AO39" s="43">
        <v>2438.0</v>
      </c>
      <c r="AP39" s="39">
        <v>0.0</v>
      </c>
      <c r="AQ39" s="39">
        <v>0.0</v>
      </c>
      <c r="AR39" s="39">
        <v>0.0</v>
      </c>
      <c r="AS39" s="39">
        <v>30830.0</v>
      </c>
      <c r="AT39" s="39">
        <v>27240.0</v>
      </c>
      <c r="AU39" s="39">
        <v>3590.0</v>
      </c>
      <c r="AV39" s="39">
        <v>0.0</v>
      </c>
      <c r="AW39" s="39">
        <v>2000.0</v>
      </c>
      <c r="AX39" s="39">
        <v>0.0</v>
      </c>
      <c r="AY39" s="39">
        <v>0.0</v>
      </c>
      <c r="AZ39" s="39">
        <v>0.0</v>
      </c>
      <c r="BA39" s="39">
        <v>0.0</v>
      </c>
      <c r="BB39" s="39">
        <v>0.0</v>
      </c>
      <c r="BC39" s="39">
        <v>2140.0</v>
      </c>
      <c r="BD39" s="39">
        <v>0.0</v>
      </c>
      <c r="BE39" s="39">
        <v>0.0</v>
      </c>
      <c r="BF39" s="39">
        <v>0.0</v>
      </c>
      <c r="BG39" s="39">
        <v>0.0</v>
      </c>
      <c r="BH39" s="39">
        <v>0.0</v>
      </c>
      <c r="BI39" s="44"/>
    </row>
    <row r="40">
      <c r="A40" s="38">
        <f t="shared" si="1"/>
        <v>45965</v>
      </c>
      <c r="B40" s="39">
        <v>39.0</v>
      </c>
      <c r="C40" s="39" t="s">
        <v>1339</v>
      </c>
      <c r="D40" s="39">
        <v>2.0</v>
      </c>
      <c r="E40" s="39">
        <v>2.648829959E9</v>
      </c>
      <c r="F40" s="39" t="s">
        <v>1204</v>
      </c>
      <c r="G40" s="39" t="s">
        <v>1118</v>
      </c>
      <c r="H40" s="39" t="s">
        <v>1340</v>
      </c>
      <c r="I40" s="40">
        <v>45965.0</v>
      </c>
      <c r="J40" s="40">
        <v>45966.0</v>
      </c>
      <c r="K40" s="40">
        <v>45967.0</v>
      </c>
      <c r="L40" s="41">
        <v>45975.0</v>
      </c>
      <c r="M40" s="41">
        <v>45975.0</v>
      </c>
      <c r="N40" s="41">
        <v>45979.0</v>
      </c>
      <c r="O40" s="39">
        <v>6.342749718E9</v>
      </c>
      <c r="P40" s="39" t="s">
        <v>1213</v>
      </c>
      <c r="Q40" s="39" t="s">
        <v>1283</v>
      </c>
      <c r="R40" s="39">
        <v>1.0</v>
      </c>
      <c r="S40" s="39">
        <v>21592.0</v>
      </c>
      <c r="T40" s="39">
        <v>59000.0</v>
      </c>
      <c r="U40" s="39">
        <v>0.0</v>
      </c>
      <c r="V40" s="39">
        <v>37408.0</v>
      </c>
      <c r="W40" s="39">
        <v>21592.0</v>
      </c>
      <c r="X40" s="39">
        <v>59000.0</v>
      </c>
      <c r="Y40" s="39">
        <v>0.0</v>
      </c>
      <c r="Z40" s="39">
        <v>0.0</v>
      </c>
      <c r="AA40" s="39">
        <v>0.0</v>
      </c>
      <c r="AB40" s="39">
        <v>0.0</v>
      </c>
      <c r="AC40" s="39">
        <v>0.0</v>
      </c>
      <c r="AD40" s="39">
        <v>0.0</v>
      </c>
      <c r="AE40" s="39">
        <v>0.0</v>
      </c>
      <c r="AF40" s="39">
        <v>0.0</v>
      </c>
      <c r="AG40" s="39">
        <v>0.0</v>
      </c>
      <c r="AH40" s="39">
        <v>0.0</v>
      </c>
      <c r="AI40" s="39">
        <v>0.0</v>
      </c>
      <c r="AJ40" s="39">
        <v>0.0</v>
      </c>
      <c r="AK40" s="39">
        <v>0.0</v>
      </c>
      <c r="AL40" s="39">
        <v>4.60752249635E11</v>
      </c>
      <c r="AM40" s="39" t="s">
        <v>1209</v>
      </c>
      <c r="AN40" s="42">
        <v>0.09</v>
      </c>
      <c r="AO40" s="43">
        <v>2438.0</v>
      </c>
      <c r="AP40" s="39">
        <v>0.0</v>
      </c>
      <c r="AQ40" s="39">
        <v>0.0</v>
      </c>
      <c r="AR40" s="39">
        <v>0.0</v>
      </c>
      <c r="AS40" s="39">
        <v>30830.0</v>
      </c>
      <c r="AT40" s="39">
        <v>27240.0</v>
      </c>
      <c r="AU40" s="39">
        <v>3590.0</v>
      </c>
      <c r="AV40" s="39">
        <v>0.0</v>
      </c>
      <c r="AW40" s="39">
        <v>2000.0</v>
      </c>
      <c r="AX40" s="39">
        <v>0.0</v>
      </c>
      <c r="AY40" s="39">
        <v>0.0</v>
      </c>
      <c r="AZ40" s="39">
        <v>0.0</v>
      </c>
      <c r="BA40" s="39">
        <v>0.0</v>
      </c>
      <c r="BB40" s="39">
        <v>0.0</v>
      </c>
      <c r="BC40" s="39">
        <v>2140.0</v>
      </c>
      <c r="BD40" s="39">
        <v>0.0</v>
      </c>
      <c r="BE40" s="39">
        <v>0.0</v>
      </c>
      <c r="BF40" s="39">
        <v>0.0</v>
      </c>
      <c r="BG40" s="39">
        <v>0.0</v>
      </c>
      <c r="BH40" s="39">
        <v>0.0</v>
      </c>
      <c r="BI40" s="44"/>
    </row>
    <row r="41">
      <c r="A41" s="38">
        <f t="shared" si="1"/>
        <v>45966</v>
      </c>
      <c r="B41" s="39">
        <v>40.0</v>
      </c>
      <c r="C41" s="39" t="s">
        <v>1341</v>
      </c>
      <c r="D41" s="39">
        <v>1.0</v>
      </c>
      <c r="E41" s="39">
        <v>2.649056274E9</v>
      </c>
      <c r="F41" s="39" t="s">
        <v>1204</v>
      </c>
      <c r="G41" s="39" t="s">
        <v>1342</v>
      </c>
      <c r="H41" s="39" t="s">
        <v>1343</v>
      </c>
      <c r="I41" s="40">
        <v>45966.0</v>
      </c>
      <c r="J41" s="40">
        <v>45966.0</v>
      </c>
      <c r="K41" s="40">
        <v>45967.0</v>
      </c>
      <c r="L41" s="45">
        <v>45967.0</v>
      </c>
      <c r="M41" s="45">
        <v>45967.0</v>
      </c>
      <c r="N41" s="41">
        <v>45971.0</v>
      </c>
      <c r="O41" s="39">
        <v>6.546161396E9</v>
      </c>
      <c r="P41" s="39" t="s">
        <v>1231</v>
      </c>
      <c r="Q41" s="39" t="s">
        <v>1236</v>
      </c>
      <c r="R41" s="39">
        <v>1.0</v>
      </c>
      <c r="S41" s="39">
        <v>13764.0</v>
      </c>
      <c r="T41" s="39">
        <v>18000.0</v>
      </c>
      <c r="U41" s="39">
        <v>0.0</v>
      </c>
      <c r="V41" s="39">
        <v>4236.0</v>
      </c>
      <c r="W41" s="39">
        <v>13764.0</v>
      </c>
      <c r="X41" s="39">
        <v>18000.0</v>
      </c>
      <c r="Y41" s="39">
        <v>0.0</v>
      </c>
      <c r="Z41" s="39">
        <v>0.0</v>
      </c>
      <c r="AA41" s="39">
        <v>0.0</v>
      </c>
      <c r="AB41" s="39">
        <v>0.0</v>
      </c>
      <c r="AC41" s="39">
        <v>0.0</v>
      </c>
      <c r="AD41" s="39">
        <v>0.0</v>
      </c>
      <c r="AE41" s="39">
        <v>0.0</v>
      </c>
      <c r="AF41" s="39">
        <v>0.0</v>
      </c>
      <c r="AG41" s="39">
        <v>0.0</v>
      </c>
      <c r="AH41" s="39">
        <v>0.0</v>
      </c>
      <c r="AI41" s="39">
        <v>0.0</v>
      </c>
      <c r="AJ41" s="39">
        <v>0.0</v>
      </c>
      <c r="AK41" s="39">
        <v>0.0</v>
      </c>
      <c r="AL41" s="39">
        <v>4.6075748985E11</v>
      </c>
      <c r="AM41" s="39" t="s">
        <v>1209</v>
      </c>
      <c r="AN41" s="42">
        <v>0.11</v>
      </c>
      <c r="AO41" s="43">
        <v>1124.0</v>
      </c>
      <c r="AP41" s="39">
        <v>0.0</v>
      </c>
      <c r="AQ41" s="39">
        <v>0.0</v>
      </c>
      <c r="AR41" s="39">
        <v>0.0</v>
      </c>
      <c r="AS41" s="39">
        <v>2780.0</v>
      </c>
      <c r="AT41" s="39">
        <v>1710.0</v>
      </c>
      <c r="AU41" s="39">
        <v>1070.0</v>
      </c>
      <c r="AV41" s="39">
        <v>0.0</v>
      </c>
      <c r="AW41" s="39">
        <v>0.0</v>
      </c>
      <c r="AX41" s="39">
        <v>0.0</v>
      </c>
      <c r="AY41" s="39">
        <v>0.0</v>
      </c>
      <c r="AZ41" s="39">
        <v>0.0</v>
      </c>
      <c r="BA41" s="39">
        <v>0.0</v>
      </c>
      <c r="BB41" s="39">
        <v>0.0</v>
      </c>
      <c r="BC41" s="39">
        <v>332.0</v>
      </c>
      <c r="BD41" s="39">
        <v>0.0</v>
      </c>
      <c r="BE41" s="39">
        <v>0.0</v>
      </c>
      <c r="BF41" s="39">
        <v>0.0</v>
      </c>
      <c r="BG41" s="39">
        <v>0.0</v>
      </c>
      <c r="BH41" s="39">
        <v>0.0</v>
      </c>
      <c r="BI41" s="44"/>
    </row>
    <row r="42">
      <c r="A42" s="38">
        <f t="shared" si="1"/>
        <v>45966</v>
      </c>
      <c r="B42" s="39">
        <v>41.0</v>
      </c>
      <c r="C42" s="39" t="s">
        <v>1344</v>
      </c>
      <c r="D42" s="39">
        <v>1.0</v>
      </c>
      <c r="E42" s="39">
        <v>2.649070793E9</v>
      </c>
      <c r="F42" s="39" t="s">
        <v>1204</v>
      </c>
      <c r="G42" s="39" t="s">
        <v>1345</v>
      </c>
      <c r="H42" s="39" t="s">
        <v>1346</v>
      </c>
      <c r="I42" s="40">
        <v>45966.0</v>
      </c>
      <c r="J42" s="40">
        <v>45966.0</v>
      </c>
      <c r="K42" s="40">
        <v>45967.0</v>
      </c>
      <c r="L42" s="41">
        <v>45975.0</v>
      </c>
      <c r="M42" s="41">
        <v>45975.0</v>
      </c>
      <c r="N42" s="41">
        <v>45979.0</v>
      </c>
      <c r="O42" s="39">
        <v>7.175614365E9</v>
      </c>
      <c r="P42" s="39" t="s">
        <v>1263</v>
      </c>
      <c r="Q42" s="39" t="s">
        <v>1219</v>
      </c>
      <c r="R42" s="39">
        <v>1.0</v>
      </c>
      <c r="S42" s="39">
        <v>11602.0</v>
      </c>
      <c r="T42" s="39">
        <v>15000.0</v>
      </c>
      <c r="U42" s="39">
        <v>0.0</v>
      </c>
      <c r="V42" s="39">
        <v>3398.0</v>
      </c>
      <c r="W42" s="39">
        <v>0.0</v>
      </c>
      <c r="X42" s="39">
        <v>15000.0</v>
      </c>
      <c r="Y42" s="39">
        <v>0.0</v>
      </c>
      <c r="Z42" s="39">
        <v>0.0</v>
      </c>
      <c r="AA42" s="39">
        <v>0.0</v>
      </c>
      <c r="AB42" s="39">
        <v>0.0</v>
      </c>
      <c r="AC42" s="39">
        <v>0.0</v>
      </c>
      <c r="AD42" s="39">
        <v>0.0</v>
      </c>
      <c r="AE42" s="39">
        <v>0.0</v>
      </c>
      <c r="AF42" s="39">
        <v>0.0</v>
      </c>
      <c r="AG42" s="39">
        <v>0.0</v>
      </c>
      <c r="AH42" s="39">
        <v>0.0</v>
      </c>
      <c r="AI42" s="39">
        <v>0.0</v>
      </c>
      <c r="AJ42" s="39">
        <v>0.0</v>
      </c>
      <c r="AK42" s="39">
        <v>0.0</v>
      </c>
      <c r="AL42" s="39">
        <v>4.60757489861E11</v>
      </c>
      <c r="AM42" s="39" t="s">
        <v>1209</v>
      </c>
      <c r="AN42" s="42">
        <v>0.09</v>
      </c>
      <c r="AO42" s="43">
        <v>870.0</v>
      </c>
      <c r="AP42" s="39">
        <v>0.0</v>
      </c>
      <c r="AQ42" s="39">
        <v>0.0</v>
      </c>
      <c r="AR42" s="39">
        <v>0.0</v>
      </c>
      <c r="AS42" s="39">
        <v>1500.0</v>
      </c>
      <c r="AT42" s="39">
        <v>900.0</v>
      </c>
      <c r="AU42" s="39">
        <v>600.0</v>
      </c>
      <c r="AV42" s="39">
        <v>0.0</v>
      </c>
      <c r="AW42" s="39">
        <v>0.0</v>
      </c>
      <c r="AX42" s="39">
        <v>0.0</v>
      </c>
      <c r="AY42" s="39">
        <v>0.0</v>
      </c>
      <c r="AZ42" s="39">
        <v>0.0</v>
      </c>
      <c r="BA42" s="39">
        <v>0.0</v>
      </c>
      <c r="BB42" s="39">
        <v>0.0</v>
      </c>
      <c r="BC42" s="39">
        <v>1028.0</v>
      </c>
      <c r="BD42" s="39">
        <v>0.0</v>
      </c>
      <c r="BE42" s="39">
        <v>0.0</v>
      </c>
      <c r="BF42" s="39">
        <v>0.0</v>
      </c>
      <c r="BG42" s="39">
        <v>0.0</v>
      </c>
      <c r="BH42" s="39">
        <v>0.0</v>
      </c>
      <c r="BI42" s="44"/>
    </row>
    <row r="43">
      <c r="A43" s="38">
        <f t="shared" si="1"/>
        <v>45966</v>
      </c>
      <c r="B43" s="39">
        <v>42.0</v>
      </c>
      <c r="C43" s="39" t="s">
        <v>1347</v>
      </c>
      <c r="D43" s="39">
        <v>1.0</v>
      </c>
      <c r="E43" s="39">
        <v>2.649094298E9</v>
      </c>
      <c r="F43" s="39" t="s">
        <v>1204</v>
      </c>
      <c r="G43" s="39" t="s">
        <v>1348</v>
      </c>
      <c r="H43" s="39" t="s">
        <v>1349</v>
      </c>
      <c r="I43" s="40">
        <v>45966.0</v>
      </c>
      <c r="J43" s="40">
        <v>45966.0</v>
      </c>
      <c r="K43" s="40">
        <v>45967.0</v>
      </c>
      <c r="L43" s="41">
        <v>45975.0</v>
      </c>
      <c r="M43" s="41">
        <v>45975.0</v>
      </c>
      <c r="N43" s="41">
        <v>45979.0</v>
      </c>
      <c r="O43" s="39">
        <v>7.175614365E9</v>
      </c>
      <c r="P43" s="39" t="s">
        <v>1263</v>
      </c>
      <c r="Q43" s="39" t="s">
        <v>1219</v>
      </c>
      <c r="R43" s="39">
        <v>1.0</v>
      </c>
      <c r="S43" s="39">
        <v>11783.0</v>
      </c>
      <c r="T43" s="39">
        <v>15000.0</v>
      </c>
      <c r="U43" s="39">
        <v>0.0</v>
      </c>
      <c r="V43" s="39">
        <v>3217.0</v>
      </c>
      <c r="W43" s="39">
        <v>0.0</v>
      </c>
      <c r="X43" s="39">
        <v>15000.0</v>
      </c>
      <c r="Y43" s="39">
        <v>0.0</v>
      </c>
      <c r="Z43" s="39">
        <v>0.0</v>
      </c>
      <c r="AA43" s="39">
        <v>0.0</v>
      </c>
      <c r="AB43" s="39">
        <v>0.0</v>
      </c>
      <c r="AC43" s="39">
        <v>0.0</v>
      </c>
      <c r="AD43" s="39">
        <v>0.0</v>
      </c>
      <c r="AE43" s="39">
        <v>0.0</v>
      </c>
      <c r="AF43" s="39">
        <v>0.0</v>
      </c>
      <c r="AG43" s="39">
        <v>0.0</v>
      </c>
      <c r="AH43" s="39">
        <v>0.0</v>
      </c>
      <c r="AI43" s="39">
        <v>0.0</v>
      </c>
      <c r="AJ43" s="39">
        <v>0.0</v>
      </c>
      <c r="AK43" s="39">
        <v>0.0</v>
      </c>
      <c r="AL43" s="39">
        <v>4.60757489872E11</v>
      </c>
      <c r="AM43" s="39" t="s">
        <v>1209</v>
      </c>
      <c r="AN43" s="42">
        <v>0.09</v>
      </c>
      <c r="AO43" s="39">
        <v>870.0</v>
      </c>
      <c r="AP43" s="39">
        <v>0.0</v>
      </c>
      <c r="AQ43" s="39">
        <v>0.0</v>
      </c>
      <c r="AR43" s="39">
        <v>0.0</v>
      </c>
      <c r="AS43" s="39">
        <v>1500.0</v>
      </c>
      <c r="AT43" s="39">
        <v>900.0</v>
      </c>
      <c r="AU43" s="39">
        <v>600.0</v>
      </c>
      <c r="AV43" s="39">
        <v>0.0</v>
      </c>
      <c r="AW43" s="39">
        <v>0.0</v>
      </c>
      <c r="AX43" s="39">
        <v>0.0</v>
      </c>
      <c r="AY43" s="39">
        <v>0.0</v>
      </c>
      <c r="AZ43" s="39">
        <v>0.0</v>
      </c>
      <c r="BA43" s="39">
        <v>0.0</v>
      </c>
      <c r="BB43" s="39">
        <v>0.0</v>
      </c>
      <c r="BC43" s="39">
        <v>847.0</v>
      </c>
      <c r="BD43" s="39">
        <v>0.0</v>
      </c>
      <c r="BE43" s="39">
        <v>0.0</v>
      </c>
      <c r="BF43" s="39">
        <v>0.0</v>
      </c>
      <c r="BG43" s="39">
        <v>0.0</v>
      </c>
      <c r="BH43" s="39">
        <v>0.0</v>
      </c>
      <c r="BI43" s="44"/>
    </row>
    <row r="44">
      <c r="A44" s="38">
        <f t="shared" si="1"/>
        <v>45966</v>
      </c>
      <c r="B44" s="39">
        <v>43.0</v>
      </c>
      <c r="C44" s="39" t="s">
        <v>1350</v>
      </c>
      <c r="D44" s="39">
        <v>1.0</v>
      </c>
      <c r="E44" s="39">
        <v>2.64909547E9</v>
      </c>
      <c r="F44" s="39" t="s">
        <v>1204</v>
      </c>
      <c r="G44" s="39" t="s">
        <v>1351</v>
      </c>
      <c r="H44" s="39" t="s">
        <v>1352</v>
      </c>
      <c r="I44" s="40">
        <v>45966.0</v>
      </c>
      <c r="J44" s="40">
        <v>45966.0</v>
      </c>
      <c r="K44" s="40">
        <v>45967.0</v>
      </c>
      <c r="L44" s="41">
        <v>45975.0</v>
      </c>
      <c r="M44" s="41">
        <v>45975.0</v>
      </c>
      <c r="N44" s="41">
        <v>45979.0</v>
      </c>
      <c r="O44" s="39">
        <v>5.370879772E9</v>
      </c>
      <c r="P44" s="39" t="s">
        <v>1246</v>
      </c>
      <c r="Q44" s="39" t="s">
        <v>1353</v>
      </c>
      <c r="R44" s="39">
        <v>1.0</v>
      </c>
      <c r="S44" s="39">
        <v>24356.0</v>
      </c>
      <c r="T44" s="39">
        <v>33000.0</v>
      </c>
      <c r="U44" s="39">
        <v>0.0</v>
      </c>
      <c r="V44" s="39">
        <v>8644.0</v>
      </c>
      <c r="W44" s="39">
        <v>0.0</v>
      </c>
      <c r="X44" s="39">
        <v>33000.0</v>
      </c>
      <c r="Y44" s="39">
        <v>0.0</v>
      </c>
      <c r="Z44" s="39">
        <v>0.0</v>
      </c>
      <c r="AA44" s="39">
        <v>0.0</v>
      </c>
      <c r="AB44" s="39">
        <v>0.0</v>
      </c>
      <c r="AC44" s="39">
        <v>0.0</v>
      </c>
      <c r="AD44" s="39">
        <v>0.0</v>
      </c>
      <c r="AE44" s="39">
        <v>0.0</v>
      </c>
      <c r="AF44" s="39">
        <v>0.0</v>
      </c>
      <c r="AG44" s="39">
        <v>0.0</v>
      </c>
      <c r="AH44" s="39">
        <v>0.0</v>
      </c>
      <c r="AI44" s="39">
        <v>0.0</v>
      </c>
      <c r="AJ44" s="39">
        <v>0.0</v>
      </c>
      <c r="AK44" s="39">
        <v>0.0</v>
      </c>
      <c r="AL44" s="39">
        <v>4.60757489883E11</v>
      </c>
      <c r="AM44" s="39" t="s">
        <v>1209</v>
      </c>
      <c r="AN44" s="42">
        <v>0.09</v>
      </c>
      <c r="AO44" s="43">
        <v>1394.0</v>
      </c>
      <c r="AP44" s="39">
        <v>0.0</v>
      </c>
      <c r="AQ44" s="39">
        <v>0.0</v>
      </c>
      <c r="AR44" s="39">
        <v>0.0</v>
      </c>
      <c r="AS44" s="39">
        <v>7030.0</v>
      </c>
      <c r="AT44" s="39">
        <v>5060.0</v>
      </c>
      <c r="AU44" s="39">
        <v>1970.0</v>
      </c>
      <c r="AV44" s="39">
        <v>0.0</v>
      </c>
      <c r="AW44" s="39">
        <v>0.0</v>
      </c>
      <c r="AX44" s="39">
        <v>0.0</v>
      </c>
      <c r="AY44" s="39">
        <v>0.0</v>
      </c>
      <c r="AZ44" s="39">
        <v>0.0</v>
      </c>
      <c r="BA44" s="39">
        <v>0.0</v>
      </c>
      <c r="BB44" s="39">
        <v>0.0</v>
      </c>
      <c r="BC44" s="39">
        <v>220.0</v>
      </c>
      <c r="BD44" s="39">
        <v>0.0</v>
      </c>
      <c r="BE44" s="39">
        <v>0.0</v>
      </c>
      <c r="BF44" s="39">
        <v>0.0</v>
      </c>
      <c r="BG44" s="39">
        <v>0.0</v>
      </c>
      <c r="BH44" s="39">
        <v>0.0</v>
      </c>
      <c r="BI44" s="44"/>
    </row>
    <row r="45">
      <c r="A45" s="38">
        <f t="shared" si="1"/>
        <v>45966</v>
      </c>
      <c r="B45" s="39">
        <v>44.0</v>
      </c>
      <c r="C45" s="39" t="s">
        <v>1354</v>
      </c>
      <c r="D45" s="39">
        <v>1.0</v>
      </c>
      <c r="E45" s="39">
        <v>2.649202103E9</v>
      </c>
      <c r="F45" s="39" t="s">
        <v>1204</v>
      </c>
      <c r="G45" s="39" t="s">
        <v>1355</v>
      </c>
      <c r="H45" s="39" t="s">
        <v>1356</v>
      </c>
      <c r="I45" s="40">
        <v>45966.0</v>
      </c>
      <c r="J45" s="40">
        <v>45967.0</v>
      </c>
      <c r="K45" s="40">
        <v>45968.0</v>
      </c>
      <c r="L45" s="41">
        <v>45976.0</v>
      </c>
      <c r="M45" s="41">
        <v>45976.0</v>
      </c>
      <c r="N45" s="41">
        <v>45979.0</v>
      </c>
      <c r="O45" s="39">
        <v>5.466907344E9</v>
      </c>
      <c r="P45" s="39" t="s">
        <v>1357</v>
      </c>
      <c r="Q45" s="39" t="s">
        <v>1358</v>
      </c>
      <c r="R45" s="39">
        <v>1.0</v>
      </c>
      <c r="S45" s="39">
        <v>55898.0</v>
      </c>
      <c r="T45" s="39">
        <v>70000.0</v>
      </c>
      <c r="U45" s="39">
        <v>0.0</v>
      </c>
      <c r="V45" s="39">
        <v>14102.0</v>
      </c>
      <c r="W45" s="39">
        <v>55898.0</v>
      </c>
      <c r="X45" s="39">
        <v>70000.0</v>
      </c>
      <c r="Y45" s="39">
        <v>0.0</v>
      </c>
      <c r="Z45" s="39">
        <v>0.0</v>
      </c>
      <c r="AA45" s="39">
        <v>0.0</v>
      </c>
      <c r="AB45" s="39">
        <v>0.0</v>
      </c>
      <c r="AC45" s="39">
        <v>0.0</v>
      </c>
      <c r="AD45" s="39">
        <v>0.0</v>
      </c>
      <c r="AE45" s="39">
        <v>0.0</v>
      </c>
      <c r="AF45" s="39">
        <v>0.0</v>
      </c>
      <c r="AG45" s="39">
        <v>0.0</v>
      </c>
      <c r="AH45" s="39">
        <v>0.0</v>
      </c>
      <c r="AI45" s="39">
        <v>0.0</v>
      </c>
      <c r="AJ45" s="39">
        <v>0.0</v>
      </c>
      <c r="AK45" s="39">
        <v>0.0</v>
      </c>
      <c r="AL45" s="39">
        <v>4.60762812532E11</v>
      </c>
      <c r="AM45" s="39" t="s">
        <v>1209</v>
      </c>
      <c r="AN45" s="42">
        <v>0.09</v>
      </c>
      <c r="AO45" s="43">
        <v>4092.0</v>
      </c>
      <c r="AP45" s="39">
        <v>0.0</v>
      </c>
      <c r="AQ45" s="39">
        <v>0.0</v>
      </c>
      <c r="AR45" s="39">
        <v>0.0</v>
      </c>
      <c r="AS45" s="39">
        <v>9900.0</v>
      </c>
      <c r="AT45" s="39">
        <v>7140.0</v>
      </c>
      <c r="AU45" s="39">
        <v>2760.0</v>
      </c>
      <c r="AV45" s="39">
        <v>0.0</v>
      </c>
      <c r="AW45" s="39">
        <v>0.0</v>
      </c>
      <c r="AX45" s="39">
        <v>0.0</v>
      </c>
      <c r="AY45" s="39">
        <v>0.0</v>
      </c>
      <c r="AZ45" s="39">
        <v>0.0</v>
      </c>
      <c r="BA45" s="39">
        <v>0.0</v>
      </c>
      <c r="BB45" s="39">
        <v>0.0</v>
      </c>
      <c r="BC45" s="39">
        <v>110.0</v>
      </c>
      <c r="BD45" s="39">
        <v>0.0</v>
      </c>
      <c r="BE45" s="39">
        <v>0.0</v>
      </c>
      <c r="BF45" s="39">
        <v>0.0</v>
      </c>
      <c r="BG45" s="39">
        <v>0.0</v>
      </c>
      <c r="BH45" s="39">
        <v>0.0</v>
      </c>
      <c r="BI45" s="44"/>
    </row>
    <row r="46">
      <c r="A46" s="38">
        <f t="shared" si="1"/>
        <v>45966</v>
      </c>
      <c r="B46" s="39">
        <v>45.0</v>
      </c>
      <c r="C46" s="39" t="s">
        <v>1359</v>
      </c>
      <c r="D46" s="39">
        <v>1.0</v>
      </c>
      <c r="E46" s="39">
        <v>2.649266997E9</v>
      </c>
      <c r="F46" s="39" t="s">
        <v>1204</v>
      </c>
      <c r="G46" s="39" t="s">
        <v>1360</v>
      </c>
      <c r="H46" s="39" t="s">
        <v>1361</v>
      </c>
      <c r="I46" s="40">
        <v>45966.0</v>
      </c>
      <c r="J46" s="40">
        <v>45967.0</v>
      </c>
      <c r="K46" s="40">
        <v>45968.0</v>
      </c>
      <c r="L46" s="41">
        <v>45976.0</v>
      </c>
      <c r="M46" s="41">
        <v>45976.0</v>
      </c>
      <c r="N46" s="41">
        <v>45979.0</v>
      </c>
      <c r="O46" s="39">
        <v>3.967025462E9</v>
      </c>
      <c r="P46" s="39" t="s">
        <v>1218</v>
      </c>
      <c r="Q46" s="39" t="s">
        <v>1219</v>
      </c>
      <c r="R46" s="39">
        <v>1.0</v>
      </c>
      <c r="S46" s="39">
        <v>28780.0</v>
      </c>
      <c r="T46" s="39">
        <v>39900.0</v>
      </c>
      <c r="U46" s="39">
        <v>0.0</v>
      </c>
      <c r="V46" s="39">
        <v>11120.0</v>
      </c>
      <c r="W46" s="39">
        <v>0.0</v>
      </c>
      <c r="X46" s="39">
        <v>39900.0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4.60762812543E11</v>
      </c>
      <c r="AM46" s="39" t="s">
        <v>1209</v>
      </c>
      <c r="AN46" s="42">
        <v>0.09</v>
      </c>
      <c r="AO46" s="39">
        <v>719.0</v>
      </c>
      <c r="AP46" s="39">
        <v>0.0</v>
      </c>
      <c r="AQ46" s="39">
        <v>0.0</v>
      </c>
      <c r="AR46" s="39">
        <v>0.0</v>
      </c>
      <c r="AS46" s="39">
        <v>7990.0</v>
      </c>
      <c r="AT46" s="39">
        <v>4400.0</v>
      </c>
      <c r="AU46" s="39">
        <v>3590.0</v>
      </c>
      <c r="AV46" s="39">
        <v>0.0</v>
      </c>
      <c r="AW46" s="39">
        <v>0.0</v>
      </c>
      <c r="AX46" s="39">
        <v>0.0</v>
      </c>
      <c r="AY46" s="39">
        <v>0.0</v>
      </c>
      <c r="AZ46" s="39">
        <v>0.0</v>
      </c>
      <c r="BA46" s="39">
        <v>0.0</v>
      </c>
      <c r="BB46" s="39">
        <v>0.0</v>
      </c>
      <c r="BC46" s="39">
        <v>2411.0</v>
      </c>
      <c r="BD46" s="39">
        <v>0.0</v>
      </c>
      <c r="BE46" s="39">
        <v>0.0</v>
      </c>
      <c r="BF46" s="39">
        <v>0.0</v>
      </c>
      <c r="BG46" s="39">
        <v>0.0</v>
      </c>
      <c r="BH46" s="39">
        <v>0.0</v>
      </c>
      <c r="BI46" s="44"/>
    </row>
    <row r="47">
      <c r="A47" s="38">
        <f t="shared" si="1"/>
        <v>45967</v>
      </c>
      <c r="B47" s="39">
        <v>46.0</v>
      </c>
      <c r="C47" s="39" t="s">
        <v>1362</v>
      </c>
      <c r="D47" s="39">
        <v>1.0</v>
      </c>
      <c r="E47" s="39">
        <v>2.64934842E9</v>
      </c>
      <c r="F47" s="39" t="s">
        <v>1204</v>
      </c>
      <c r="G47" s="39" t="s">
        <v>1363</v>
      </c>
      <c r="H47" s="39" t="s">
        <v>1364</v>
      </c>
      <c r="I47" s="40">
        <v>45967.0</v>
      </c>
      <c r="J47" s="40">
        <v>45967.0</v>
      </c>
      <c r="K47" s="40">
        <v>45968.0</v>
      </c>
      <c r="L47" s="45">
        <v>45968.0</v>
      </c>
      <c r="M47" s="45">
        <v>45968.0</v>
      </c>
      <c r="N47" s="41">
        <v>45972.0</v>
      </c>
      <c r="O47" s="39">
        <v>5.924859476E9</v>
      </c>
      <c r="P47" s="39" t="s">
        <v>1365</v>
      </c>
      <c r="Q47" s="39" t="s">
        <v>1366</v>
      </c>
      <c r="R47" s="39">
        <v>1.0</v>
      </c>
      <c r="S47" s="39">
        <v>25354.0</v>
      </c>
      <c r="T47" s="39">
        <v>32000.0</v>
      </c>
      <c r="U47" s="39">
        <v>0.0</v>
      </c>
      <c r="V47" s="39">
        <v>6646.0</v>
      </c>
      <c r="W47" s="39">
        <v>0.0</v>
      </c>
      <c r="X47" s="39">
        <v>32000.0</v>
      </c>
      <c r="Y47" s="39">
        <v>0.0</v>
      </c>
      <c r="Z47" s="39">
        <v>0.0</v>
      </c>
      <c r="AA47" s="39">
        <v>0.0</v>
      </c>
      <c r="AB47" s="39">
        <v>0.0</v>
      </c>
      <c r="AC47" s="39">
        <v>0.0</v>
      </c>
      <c r="AD47" s="39">
        <v>0.0</v>
      </c>
      <c r="AE47" s="39">
        <v>0.0</v>
      </c>
      <c r="AF47" s="39">
        <v>0.0</v>
      </c>
      <c r="AG47" s="39">
        <v>0.0</v>
      </c>
      <c r="AH47" s="39">
        <v>0.0</v>
      </c>
      <c r="AI47" s="39">
        <v>0.0</v>
      </c>
      <c r="AJ47" s="39">
        <v>0.0</v>
      </c>
      <c r="AK47" s="39">
        <v>0.0</v>
      </c>
      <c r="AL47" s="39">
        <v>4.60762812565E11</v>
      </c>
      <c r="AM47" s="39" t="s">
        <v>1209</v>
      </c>
      <c r="AN47" s="42">
        <v>0.09</v>
      </c>
      <c r="AO47" s="39">
        <v>0.0</v>
      </c>
      <c r="AP47" s="39">
        <v>0.0</v>
      </c>
      <c r="AQ47" s="39">
        <v>0.0</v>
      </c>
      <c r="AR47" s="39">
        <v>0.0</v>
      </c>
      <c r="AS47" s="39">
        <v>6426.0</v>
      </c>
      <c r="AT47" s="39">
        <v>2970.0</v>
      </c>
      <c r="AU47" s="39">
        <v>3456.0</v>
      </c>
      <c r="AV47" s="39">
        <v>454.0</v>
      </c>
      <c r="AW47" s="39">
        <v>0.0</v>
      </c>
      <c r="AX47" s="39">
        <v>0.0</v>
      </c>
      <c r="AY47" s="39">
        <v>0.0</v>
      </c>
      <c r="AZ47" s="39">
        <v>0.0</v>
      </c>
      <c r="BA47" s="39">
        <v>0.0</v>
      </c>
      <c r="BB47" s="39">
        <v>0.0</v>
      </c>
      <c r="BC47" s="39">
        <v>220.0</v>
      </c>
      <c r="BD47" s="39">
        <v>0.0</v>
      </c>
      <c r="BE47" s="39">
        <v>0.0</v>
      </c>
      <c r="BF47" s="39">
        <v>0.0</v>
      </c>
      <c r="BG47" s="39">
        <v>0.0</v>
      </c>
      <c r="BH47" s="39">
        <v>0.0</v>
      </c>
      <c r="BI47" s="44"/>
    </row>
    <row r="48">
      <c r="A48" s="38">
        <f t="shared" si="1"/>
        <v>45967</v>
      </c>
      <c r="B48" s="39">
        <v>47.0</v>
      </c>
      <c r="C48" s="39" t="s">
        <v>1367</v>
      </c>
      <c r="D48" s="39">
        <v>1.0</v>
      </c>
      <c r="E48" s="39">
        <v>2.649349323E9</v>
      </c>
      <c r="F48" s="39" t="s">
        <v>1204</v>
      </c>
      <c r="G48" s="39" t="s">
        <v>1368</v>
      </c>
      <c r="H48" s="39" t="s">
        <v>1369</v>
      </c>
      <c r="I48" s="40">
        <v>45967.0</v>
      </c>
      <c r="J48" s="40">
        <v>45967.0</v>
      </c>
      <c r="K48" s="40">
        <v>45968.0</v>
      </c>
      <c r="L48" s="41">
        <v>45976.0</v>
      </c>
      <c r="M48" s="41">
        <v>45976.0</v>
      </c>
      <c r="N48" s="41">
        <v>45979.0</v>
      </c>
      <c r="O48" s="39">
        <v>2.786546082E9</v>
      </c>
      <c r="P48" s="39" t="s">
        <v>1370</v>
      </c>
      <c r="Q48" s="39" t="s">
        <v>1219</v>
      </c>
      <c r="R48" s="39">
        <v>1.0</v>
      </c>
      <c r="S48" s="39">
        <v>21092.0</v>
      </c>
      <c r="T48" s="39">
        <v>29500.0</v>
      </c>
      <c r="U48" s="39">
        <v>0.0</v>
      </c>
      <c r="V48" s="39">
        <v>8408.0</v>
      </c>
      <c r="W48" s="39">
        <v>21092.0</v>
      </c>
      <c r="X48" s="39">
        <v>29500.0</v>
      </c>
      <c r="Y48" s="39">
        <v>0.0</v>
      </c>
      <c r="Z48" s="39">
        <v>0.0</v>
      </c>
      <c r="AA48" s="39">
        <v>0.0</v>
      </c>
      <c r="AB48" s="39">
        <v>0.0</v>
      </c>
      <c r="AC48" s="39">
        <v>0.0</v>
      </c>
      <c r="AD48" s="39">
        <v>0.0</v>
      </c>
      <c r="AE48" s="39">
        <v>0.0</v>
      </c>
      <c r="AF48" s="39">
        <v>0.0</v>
      </c>
      <c r="AG48" s="39">
        <v>0.0</v>
      </c>
      <c r="AH48" s="39">
        <v>0.0</v>
      </c>
      <c r="AI48" s="39">
        <v>0.0</v>
      </c>
      <c r="AJ48" s="39">
        <v>0.0</v>
      </c>
      <c r="AK48" s="39">
        <v>0.0</v>
      </c>
      <c r="AL48" s="39">
        <v>4.60762812576E11</v>
      </c>
      <c r="AM48" s="39" t="s">
        <v>1209</v>
      </c>
      <c r="AN48" s="42">
        <v>0.09</v>
      </c>
      <c r="AO48" s="39">
        <v>6.0</v>
      </c>
      <c r="AP48" s="39">
        <v>0.0</v>
      </c>
      <c r="AQ48" s="39">
        <v>0.0</v>
      </c>
      <c r="AR48" s="39">
        <v>0.0</v>
      </c>
      <c r="AS48" s="39">
        <v>6950.0</v>
      </c>
      <c r="AT48" s="39">
        <v>3770.0</v>
      </c>
      <c r="AU48" s="39">
        <v>3180.0</v>
      </c>
      <c r="AV48" s="39">
        <v>0.0</v>
      </c>
      <c r="AW48" s="39">
        <v>0.0</v>
      </c>
      <c r="AX48" s="39">
        <v>0.0</v>
      </c>
      <c r="AY48" s="39">
        <v>0.0</v>
      </c>
      <c r="AZ48" s="39">
        <v>0.0</v>
      </c>
      <c r="BA48" s="39">
        <v>0.0</v>
      </c>
      <c r="BB48" s="39">
        <v>0.0</v>
      </c>
      <c r="BC48" s="39">
        <v>1452.0</v>
      </c>
      <c r="BD48" s="39">
        <v>0.0</v>
      </c>
      <c r="BE48" s="39">
        <v>0.0</v>
      </c>
      <c r="BF48" s="39">
        <v>0.0</v>
      </c>
      <c r="BG48" s="39">
        <v>0.0</v>
      </c>
      <c r="BH48" s="39">
        <v>0.0</v>
      </c>
      <c r="BI48" s="44"/>
    </row>
    <row r="49">
      <c r="A49" s="38">
        <f t="shared" si="1"/>
        <v>45967</v>
      </c>
      <c r="B49" s="39">
        <v>48.0</v>
      </c>
      <c r="C49" s="39" t="s">
        <v>1371</v>
      </c>
      <c r="D49" s="39">
        <v>2.0</v>
      </c>
      <c r="E49" s="39">
        <v>2.649608345E9</v>
      </c>
      <c r="F49" s="39" t="s">
        <v>1204</v>
      </c>
      <c r="G49" s="39" t="s">
        <v>1372</v>
      </c>
      <c r="H49" s="39" t="s">
        <v>1373</v>
      </c>
      <c r="I49" s="40">
        <v>45967.0</v>
      </c>
      <c r="J49" s="40">
        <v>45968.0</v>
      </c>
      <c r="K49" s="40">
        <v>45969.0</v>
      </c>
      <c r="L49" s="41">
        <v>45971.0</v>
      </c>
      <c r="M49" s="41">
        <v>45971.0</v>
      </c>
      <c r="N49" s="41">
        <v>45973.0</v>
      </c>
      <c r="O49" s="39">
        <v>6.031873213E9</v>
      </c>
      <c r="P49" s="39" t="s">
        <v>1374</v>
      </c>
      <c r="Q49" s="39" t="s">
        <v>1375</v>
      </c>
      <c r="R49" s="39">
        <v>1.0</v>
      </c>
      <c r="S49" s="39">
        <v>21469.0</v>
      </c>
      <c r="T49" s="39">
        <v>30000.0</v>
      </c>
      <c r="U49" s="39">
        <v>0.0</v>
      </c>
      <c r="V49" s="39">
        <v>8531.0</v>
      </c>
      <c r="W49" s="39">
        <v>0.0</v>
      </c>
      <c r="X49" s="39">
        <v>30000.0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4.60772357651E11</v>
      </c>
      <c r="AM49" s="39" t="s">
        <v>1209</v>
      </c>
      <c r="AN49" s="42">
        <v>0.13</v>
      </c>
      <c r="AO49" s="43">
        <v>2948.0</v>
      </c>
      <c r="AP49" s="39">
        <v>0.0</v>
      </c>
      <c r="AQ49" s="39">
        <v>0.0</v>
      </c>
      <c r="AR49" s="39">
        <v>0.0</v>
      </c>
      <c r="AS49" s="39">
        <v>5090.0</v>
      </c>
      <c r="AT49" s="39">
        <v>3900.0</v>
      </c>
      <c r="AU49" s="39">
        <v>1190.0</v>
      </c>
      <c r="AV49" s="39">
        <v>0.0</v>
      </c>
      <c r="AW49" s="39">
        <v>0.0</v>
      </c>
      <c r="AX49" s="39">
        <v>0.0</v>
      </c>
      <c r="AY49" s="39">
        <v>0.0</v>
      </c>
      <c r="AZ49" s="39">
        <v>0.0</v>
      </c>
      <c r="BA49" s="39">
        <v>0.0</v>
      </c>
      <c r="BB49" s="39">
        <v>0.0</v>
      </c>
      <c r="BC49" s="39">
        <v>493.0</v>
      </c>
      <c r="BD49" s="39">
        <v>0.0</v>
      </c>
      <c r="BE49" s="39">
        <v>0.0</v>
      </c>
      <c r="BF49" s="39">
        <v>0.0</v>
      </c>
      <c r="BG49" s="39">
        <v>0.0</v>
      </c>
      <c r="BH49" s="39">
        <v>0.0</v>
      </c>
      <c r="BI49" s="44"/>
    </row>
    <row r="50">
      <c r="A50" s="38">
        <f t="shared" si="1"/>
        <v>45967</v>
      </c>
      <c r="B50" s="39">
        <v>49.0</v>
      </c>
      <c r="C50" s="39" t="s">
        <v>1376</v>
      </c>
      <c r="D50" s="39">
        <v>1.0</v>
      </c>
      <c r="E50" s="39">
        <v>2.649666984E9</v>
      </c>
      <c r="F50" s="39" t="s">
        <v>1204</v>
      </c>
      <c r="G50" s="39" t="s">
        <v>1377</v>
      </c>
      <c r="H50" s="39" t="s">
        <v>1378</v>
      </c>
      <c r="I50" s="40">
        <v>45967.0</v>
      </c>
      <c r="J50" s="40">
        <v>45968.0</v>
      </c>
      <c r="K50" s="40">
        <v>45969.0</v>
      </c>
      <c r="L50" s="41">
        <v>45977.0</v>
      </c>
      <c r="M50" s="41">
        <v>45977.0</v>
      </c>
      <c r="N50" s="41">
        <v>45979.0</v>
      </c>
      <c r="O50" s="39">
        <v>6.422434702E9</v>
      </c>
      <c r="P50" s="39" t="s">
        <v>1223</v>
      </c>
      <c r="Q50" s="39" t="s">
        <v>1224</v>
      </c>
      <c r="R50" s="39">
        <v>1.0</v>
      </c>
      <c r="S50" s="39">
        <v>15937.0</v>
      </c>
      <c r="T50" s="39">
        <v>19900.0</v>
      </c>
      <c r="U50" s="39">
        <v>0.0</v>
      </c>
      <c r="V50" s="39">
        <v>3963.0</v>
      </c>
      <c r="W50" s="39">
        <v>0.0</v>
      </c>
      <c r="X50" s="39">
        <v>19900.0</v>
      </c>
      <c r="Y50" s="39">
        <v>0.0</v>
      </c>
      <c r="Z50" s="39">
        <v>0.0</v>
      </c>
      <c r="AA50" s="39">
        <v>0.0</v>
      </c>
      <c r="AB50" s="39">
        <v>0.0</v>
      </c>
      <c r="AC50" s="39">
        <v>0.0</v>
      </c>
      <c r="AD50" s="39">
        <v>0.0</v>
      </c>
      <c r="AE50" s="39">
        <v>0.0</v>
      </c>
      <c r="AF50" s="39">
        <v>0.0</v>
      </c>
      <c r="AG50" s="39">
        <v>0.0</v>
      </c>
      <c r="AH50" s="39">
        <v>0.0</v>
      </c>
      <c r="AI50" s="39">
        <v>0.0</v>
      </c>
      <c r="AJ50" s="39">
        <v>0.0</v>
      </c>
      <c r="AK50" s="39">
        <v>0.0</v>
      </c>
      <c r="AL50" s="39">
        <v>4.60772357662E11</v>
      </c>
      <c r="AM50" s="39" t="s">
        <v>1209</v>
      </c>
      <c r="AN50" s="42">
        <v>0.11</v>
      </c>
      <c r="AO50" s="43">
        <v>1557.0</v>
      </c>
      <c r="AP50" s="39">
        <v>0.0</v>
      </c>
      <c r="AQ50" s="39">
        <v>0.0</v>
      </c>
      <c r="AR50" s="39">
        <v>0.0</v>
      </c>
      <c r="AS50" s="39">
        <v>1990.0</v>
      </c>
      <c r="AT50" s="39">
        <v>1200.0</v>
      </c>
      <c r="AU50" s="39">
        <v>790.0</v>
      </c>
      <c r="AV50" s="39">
        <v>0.0</v>
      </c>
      <c r="AW50" s="39">
        <v>0.0</v>
      </c>
      <c r="AX50" s="39">
        <v>0.0</v>
      </c>
      <c r="AY50" s="39">
        <v>0.0</v>
      </c>
      <c r="AZ50" s="39">
        <v>0.0</v>
      </c>
      <c r="BA50" s="39">
        <v>0.0</v>
      </c>
      <c r="BB50" s="39">
        <v>0.0</v>
      </c>
      <c r="BC50" s="39">
        <v>416.0</v>
      </c>
      <c r="BD50" s="39">
        <v>0.0</v>
      </c>
      <c r="BE50" s="39">
        <v>0.0</v>
      </c>
      <c r="BF50" s="39">
        <v>0.0</v>
      </c>
      <c r="BG50" s="39">
        <v>0.0</v>
      </c>
      <c r="BH50" s="39">
        <v>0.0</v>
      </c>
      <c r="BI50" s="44"/>
    </row>
    <row r="51">
      <c r="A51" s="38">
        <f t="shared" si="1"/>
        <v>45967</v>
      </c>
      <c r="B51" s="39">
        <v>50.0</v>
      </c>
      <c r="C51" s="39" t="s">
        <v>1379</v>
      </c>
      <c r="D51" s="39">
        <v>1.0</v>
      </c>
      <c r="E51" s="39">
        <v>2.649674901E9</v>
      </c>
      <c r="F51" s="39" t="s">
        <v>1204</v>
      </c>
      <c r="G51" s="39" t="s">
        <v>1380</v>
      </c>
      <c r="H51" s="39" t="s">
        <v>1381</v>
      </c>
      <c r="I51" s="40">
        <v>45967.0</v>
      </c>
      <c r="J51" s="40">
        <v>45968.0</v>
      </c>
      <c r="K51" s="40">
        <v>45969.0</v>
      </c>
      <c r="L51" s="41">
        <v>45977.0</v>
      </c>
      <c r="M51" s="41">
        <v>45977.0</v>
      </c>
      <c r="N51" s="41">
        <v>45979.0</v>
      </c>
      <c r="O51" s="39">
        <v>6.023557551E9</v>
      </c>
      <c r="P51" s="39" t="s">
        <v>1317</v>
      </c>
      <c r="Q51" s="39" t="s">
        <v>1382</v>
      </c>
      <c r="R51" s="39">
        <v>10.0</v>
      </c>
      <c r="S51" s="39">
        <v>133302.0</v>
      </c>
      <c r="T51" s="39">
        <v>175000.0</v>
      </c>
      <c r="U51" s="39">
        <v>0.0</v>
      </c>
      <c r="V51" s="39">
        <v>41698.0</v>
      </c>
      <c r="W51" s="39">
        <v>133302.0</v>
      </c>
      <c r="X51" s="39">
        <v>110000.0</v>
      </c>
      <c r="Y51" s="39">
        <v>65000.0</v>
      </c>
      <c r="Z51" s="39">
        <v>0.0</v>
      </c>
      <c r="AA51" s="39">
        <v>0.0</v>
      </c>
      <c r="AB51" s="39">
        <v>0.0</v>
      </c>
      <c r="AC51" s="39">
        <v>0.0</v>
      </c>
      <c r="AD51" s="39">
        <v>0.0</v>
      </c>
      <c r="AE51" s="39">
        <v>0.0</v>
      </c>
      <c r="AF51" s="39">
        <v>0.0</v>
      </c>
      <c r="AG51" s="39">
        <v>0.0</v>
      </c>
      <c r="AH51" s="39">
        <v>0.0</v>
      </c>
      <c r="AI51" s="39">
        <v>0.0</v>
      </c>
      <c r="AJ51" s="39">
        <v>0.0</v>
      </c>
      <c r="AK51" s="39">
        <v>0.0</v>
      </c>
      <c r="AL51" s="39">
        <v>4.60772357673E11</v>
      </c>
      <c r="AM51" s="39" t="s">
        <v>1209</v>
      </c>
      <c r="AN51" s="42">
        <v>0.09</v>
      </c>
      <c r="AO51" s="43">
        <v>7398.0</v>
      </c>
      <c r="AP51" s="39">
        <v>0.0</v>
      </c>
      <c r="AQ51" s="39">
        <v>0.0</v>
      </c>
      <c r="AR51" s="39">
        <v>0.0</v>
      </c>
      <c r="AS51" s="39">
        <v>27100.0</v>
      </c>
      <c r="AT51" s="39">
        <v>16660.0</v>
      </c>
      <c r="AU51" s="39">
        <v>10440.0</v>
      </c>
      <c r="AV51" s="39">
        <v>0.0</v>
      </c>
      <c r="AW51" s="39">
        <v>5000.0</v>
      </c>
      <c r="AX51" s="39">
        <v>0.0</v>
      </c>
      <c r="AY51" s="39">
        <v>0.0</v>
      </c>
      <c r="AZ51" s="39">
        <v>0.0</v>
      </c>
      <c r="BA51" s="39">
        <v>0.0</v>
      </c>
      <c r="BB51" s="39">
        <v>0.0</v>
      </c>
      <c r="BC51" s="39">
        <v>2200.0</v>
      </c>
      <c r="BD51" s="39">
        <v>0.0</v>
      </c>
      <c r="BE51" s="39">
        <v>0.0</v>
      </c>
      <c r="BF51" s="39">
        <v>0.0</v>
      </c>
      <c r="BG51" s="39">
        <v>0.0</v>
      </c>
      <c r="BH51" s="39">
        <v>0.0</v>
      </c>
      <c r="BI51" s="44"/>
    </row>
    <row r="52">
      <c r="A52" s="38">
        <f t="shared" si="1"/>
        <v>45968</v>
      </c>
      <c r="B52" s="39">
        <v>51.0</v>
      </c>
      <c r="C52" s="39" t="s">
        <v>1383</v>
      </c>
      <c r="D52" s="39">
        <v>1.0</v>
      </c>
      <c r="E52" s="39">
        <v>2.649777538E9</v>
      </c>
      <c r="F52" s="39" t="s">
        <v>1204</v>
      </c>
      <c r="G52" s="39" t="s">
        <v>1345</v>
      </c>
      <c r="H52" s="39" t="s">
        <v>1346</v>
      </c>
      <c r="I52" s="40">
        <v>45968.0</v>
      </c>
      <c r="J52" s="40">
        <v>45968.0</v>
      </c>
      <c r="K52" s="40">
        <v>45969.0</v>
      </c>
      <c r="L52" s="41">
        <v>45977.0</v>
      </c>
      <c r="M52" s="41">
        <v>45977.0</v>
      </c>
      <c r="N52" s="41">
        <v>45979.0</v>
      </c>
      <c r="O52" s="39">
        <v>7.175614365E9</v>
      </c>
      <c r="P52" s="39" t="s">
        <v>1263</v>
      </c>
      <c r="Q52" s="39" t="s">
        <v>1219</v>
      </c>
      <c r="R52" s="39">
        <v>1.0</v>
      </c>
      <c r="S52" s="39">
        <v>11602.0</v>
      </c>
      <c r="T52" s="39">
        <v>15000.0</v>
      </c>
      <c r="U52" s="39">
        <v>0.0</v>
      </c>
      <c r="V52" s="39">
        <v>3398.0</v>
      </c>
      <c r="W52" s="39">
        <v>0.0</v>
      </c>
      <c r="X52" s="39">
        <v>15000.0</v>
      </c>
      <c r="Y52" s="39">
        <v>0.0</v>
      </c>
      <c r="Z52" s="39">
        <v>0.0</v>
      </c>
      <c r="AA52" s="39">
        <v>0.0</v>
      </c>
      <c r="AB52" s="39">
        <v>0.0</v>
      </c>
      <c r="AC52" s="39">
        <v>0.0</v>
      </c>
      <c r="AD52" s="39">
        <v>0.0</v>
      </c>
      <c r="AE52" s="39">
        <v>0.0</v>
      </c>
      <c r="AF52" s="39">
        <v>0.0</v>
      </c>
      <c r="AG52" s="39">
        <v>0.0</v>
      </c>
      <c r="AH52" s="39">
        <v>0.0</v>
      </c>
      <c r="AI52" s="39">
        <v>0.0</v>
      </c>
      <c r="AJ52" s="39">
        <v>0.0</v>
      </c>
      <c r="AK52" s="39">
        <v>0.0</v>
      </c>
      <c r="AL52" s="39">
        <v>4.60772357706E11</v>
      </c>
      <c r="AM52" s="39" t="s">
        <v>1209</v>
      </c>
      <c r="AN52" s="42">
        <v>0.09</v>
      </c>
      <c r="AO52" s="39">
        <v>870.0</v>
      </c>
      <c r="AP52" s="39">
        <v>0.0</v>
      </c>
      <c r="AQ52" s="39">
        <v>0.0</v>
      </c>
      <c r="AR52" s="39">
        <v>0.0</v>
      </c>
      <c r="AS52" s="39">
        <v>1500.0</v>
      </c>
      <c r="AT52" s="39">
        <v>900.0</v>
      </c>
      <c r="AU52" s="39">
        <v>600.0</v>
      </c>
      <c r="AV52" s="39">
        <v>0.0</v>
      </c>
      <c r="AW52" s="39">
        <v>0.0</v>
      </c>
      <c r="AX52" s="39">
        <v>0.0</v>
      </c>
      <c r="AY52" s="39">
        <v>0.0</v>
      </c>
      <c r="AZ52" s="39">
        <v>0.0</v>
      </c>
      <c r="BA52" s="39">
        <v>0.0</v>
      </c>
      <c r="BB52" s="39">
        <v>0.0</v>
      </c>
      <c r="BC52" s="39">
        <v>1028.0</v>
      </c>
      <c r="BD52" s="39">
        <v>0.0</v>
      </c>
      <c r="BE52" s="39">
        <v>0.0</v>
      </c>
      <c r="BF52" s="39">
        <v>0.0</v>
      </c>
      <c r="BG52" s="39">
        <v>0.0</v>
      </c>
      <c r="BH52" s="39">
        <v>0.0</v>
      </c>
      <c r="BI52" s="44"/>
    </row>
    <row r="53">
      <c r="A53" s="38">
        <f t="shared" si="1"/>
        <v>45968</v>
      </c>
      <c r="B53" s="39">
        <v>52.0</v>
      </c>
      <c r="C53" s="39" t="s">
        <v>1384</v>
      </c>
      <c r="D53" s="39">
        <v>5.0</v>
      </c>
      <c r="E53" s="39">
        <v>2.649879837E9</v>
      </c>
      <c r="F53" s="39" t="s">
        <v>1204</v>
      </c>
      <c r="G53" s="39" t="s">
        <v>1385</v>
      </c>
      <c r="H53" s="39" t="s">
        <v>1386</v>
      </c>
      <c r="I53" s="40">
        <v>45968.0</v>
      </c>
      <c r="J53" s="40">
        <v>45968.0</v>
      </c>
      <c r="K53" s="40">
        <v>45972.0</v>
      </c>
      <c r="L53" s="41">
        <v>45980.0</v>
      </c>
      <c r="M53" s="41">
        <v>45980.0</v>
      </c>
      <c r="N53" s="41">
        <v>45982.0</v>
      </c>
      <c r="O53" s="39">
        <v>8.218763311E9</v>
      </c>
      <c r="P53" s="39" t="s">
        <v>1207</v>
      </c>
      <c r="Q53" s="39" t="s">
        <v>1208</v>
      </c>
      <c r="R53" s="39">
        <v>1.0</v>
      </c>
      <c r="S53" s="39">
        <v>21234.0</v>
      </c>
      <c r="T53" s="39">
        <v>29000.0</v>
      </c>
      <c r="U53" s="39">
        <v>0.0</v>
      </c>
      <c r="V53" s="39">
        <v>7766.0</v>
      </c>
      <c r="W53" s="39">
        <v>21234.0</v>
      </c>
      <c r="X53" s="39">
        <v>29000.0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4.6077726226E11</v>
      </c>
      <c r="AM53" s="39" t="s">
        <v>1209</v>
      </c>
      <c r="AN53" s="42">
        <v>0.09</v>
      </c>
      <c r="AO53" s="43">
        <v>1226.0</v>
      </c>
      <c r="AP53" s="39">
        <v>0.0</v>
      </c>
      <c r="AQ53" s="39">
        <v>0.0</v>
      </c>
      <c r="AR53" s="39">
        <v>0.0</v>
      </c>
      <c r="AS53" s="39">
        <v>6430.0</v>
      </c>
      <c r="AT53" s="39">
        <v>4700.0</v>
      </c>
      <c r="AU53" s="39">
        <v>1730.0</v>
      </c>
      <c r="AV53" s="39">
        <v>0.0</v>
      </c>
      <c r="AW53" s="39">
        <v>0.0</v>
      </c>
      <c r="AX53" s="39">
        <v>0.0</v>
      </c>
      <c r="AY53" s="39">
        <v>0.0</v>
      </c>
      <c r="AZ53" s="39">
        <v>0.0</v>
      </c>
      <c r="BA53" s="39">
        <v>0.0</v>
      </c>
      <c r="BB53" s="39">
        <v>0.0</v>
      </c>
      <c r="BC53" s="39">
        <v>110.0</v>
      </c>
      <c r="BD53" s="39">
        <v>0.0</v>
      </c>
      <c r="BE53" s="39">
        <v>0.0</v>
      </c>
      <c r="BF53" s="39">
        <v>0.0</v>
      </c>
      <c r="BG53" s="39">
        <v>0.0</v>
      </c>
      <c r="BH53" s="39">
        <v>0.0</v>
      </c>
      <c r="BI53" s="44"/>
    </row>
    <row r="54">
      <c r="A54" s="38">
        <f t="shared" si="1"/>
        <v>45968</v>
      </c>
      <c r="B54" s="39">
        <v>53.0</v>
      </c>
      <c r="C54" s="39" t="s">
        <v>1387</v>
      </c>
      <c r="D54" s="39">
        <v>1.0</v>
      </c>
      <c r="E54" s="39">
        <v>2.650055559E9</v>
      </c>
      <c r="F54" s="39" t="s">
        <v>1204</v>
      </c>
      <c r="G54" s="39" t="s">
        <v>1388</v>
      </c>
      <c r="H54" s="39" t="s">
        <v>1389</v>
      </c>
      <c r="I54" s="40">
        <v>45968.0</v>
      </c>
      <c r="J54" s="40">
        <v>45971.0</v>
      </c>
      <c r="K54" s="40">
        <v>45972.0</v>
      </c>
      <c r="L54" s="41">
        <v>45980.0</v>
      </c>
      <c r="M54" s="41">
        <v>45980.0</v>
      </c>
      <c r="N54" s="41">
        <v>45982.0</v>
      </c>
      <c r="O54" s="39">
        <v>6.031873213E9</v>
      </c>
      <c r="P54" s="39" t="s">
        <v>1374</v>
      </c>
      <c r="Q54" s="39" t="s">
        <v>1390</v>
      </c>
      <c r="R54" s="39">
        <v>1.0</v>
      </c>
      <c r="S54" s="39">
        <v>21610.0</v>
      </c>
      <c r="T54" s="39">
        <v>30000.0</v>
      </c>
      <c r="U54" s="39">
        <v>0.0</v>
      </c>
      <c r="V54" s="39">
        <v>8390.0</v>
      </c>
      <c r="W54" s="39">
        <v>0.0</v>
      </c>
      <c r="X54" s="39">
        <v>30000.0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4.60786489306E11</v>
      </c>
      <c r="AM54" s="39" t="s">
        <v>1209</v>
      </c>
      <c r="AN54" s="42">
        <v>0.13</v>
      </c>
      <c r="AO54" s="43">
        <v>1348.0</v>
      </c>
      <c r="AP54" s="39">
        <v>0.0</v>
      </c>
      <c r="AQ54" s="39">
        <v>0.0</v>
      </c>
      <c r="AR54" s="39">
        <v>0.0</v>
      </c>
      <c r="AS54" s="39">
        <v>5090.0</v>
      </c>
      <c r="AT54" s="39">
        <v>1900.0</v>
      </c>
      <c r="AU54" s="39">
        <v>3190.0</v>
      </c>
      <c r="AV54" s="39">
        <v>0.0</v>
      </c>
      <c r="AW54" s="39">
        <v>0.0</v>
      </c>
      <c r="AX54" s="39">
        <v>0.0</v>
      </c>
      <c r="AY54" s="39">
        <v>0.0</v>
      </c>
      <c r="AZ54" s="39">
        <v>0.0</v>
      </c>
      <c r="BA54" s="39">
        <v>0.0</v>
      </c>
      <c r="BB54" s="39">
        <v>0.0</v>
      </c>
      <c r="BC54" s="39">
        <v>1952.0</v>
      </c>
      <c r="BD54" s="39">
        <v>0.0</v>
      </c>
      <c r="BE54" s="39">
        <v>0.0</v>
      </c>
      <c r="BF54" s="39">
        <v>0.0</v>
      </c>
      <c r="BG54" s="39">
        <v>0.0</v>
      </c>
      <c r="BH54" s="39">
        <v>0.0</v>
      </c>
      <c r="BI54" s="44"/>
    </row>
    <row r="55">
      <c r="A55" s="38">
        <f t="shared" si="1"/>
        <v>45969</v>
      </c>
      <c r="B55" s="39">
        <v>54.0</v>
      </c>
      <c r="C55" s="39" t="s">
        <v>1391</v>
      </c>
      <c r="D55" s="39">
        <v>1.0</v>
      </c>
      <c r="E55" s="39">
        <v>2.650253212E9</v>
      </c>
      <c r="F55" s="39" t="s">
        <v>1204</v>
      </c>
      <c r="G55" s="39" t="s">
        <v>1392</v>
      </c>
      <c r="H55" s="39" t="s">
        <v>1393</v>
      </c>
      <c r="I55" s="40">
        <v>45969.0</v>
      </c>
      <c r="J55" s="40">
        <v>45971.0</v>
      </c>
      <c r="K55" s="40">
        <v>45972.0</v>
      </c>
      <c r="L55" s="41">
        <v>45972.0</v>
      </c>
      <c r="M55" s="41">
        <v>45972.0</v>
      </c>
      <c r="N55" s="41">
        <v>45974.0</v>
      </c>
      <c r="O55" s="39">
        <v>3.967025462E9</v>
      </c>
      <c r="P55" s="39" t="s">
        <v>1218</v>
      </c>
      <c r="Q55" s="39" t="s">
        <v>1219</v>
      </c>
      <c r="R55" s="39">
        <v>1.0</v>
      </c>
      <c r="S55" s="39">
        <v>28780.0</v>
      </c>
      <c r="T55" s="39">
        <v>39900.0</v>
      </c>
      <c r="U55" s="39">
        <v>0.0</v>
      </c>
      <c r="V55" s="39">
        <v>11120.0</v>
      </c>
      <c r="W55" s="39">
        <v>0.0</v>
      </c>
      <c r="X55" s="39">
        <v>39900.0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4.6078648931E11</v>
      </c>
      <c r="AM55" s="39" t="s">
        <v>1209</v>
      </c>
      <c r="AN55" s="42">
        <v>0.09</v>
      </c>
      <c r="AO55" s="39">
        <v>719.0</v>
      </c>
      <c r="AP55" s="39">
        <v>0.0</v>
      </c>
      <c r="AQ55" s="39">
        <v>0.0</v>
      </c>
      <c r="AR55" s="39">
        <v>0.0</v>
      </c>
      <c r="AS55" s="39">
        <v>7990.0</v>
      </c>
      <c r="AT55" s="39">
        <v>4400.0</v>
      </c>
      <c r="AU55" s="39">
        <v>3590.0</v>
      </c>
      <c r="AV55" s="39">
        <v>0.0</v>
      </c>
      <c r="AW55" s="39">
        <v>0.0</v>
      </c>
      <c r="AX55" s="39">
        <v>0.0</v>
      </c>
      <c r="AY55" s="39">
        <v>0.0</v>
      </c>
      <c r="AZ55" s="39">
        <v>0.0</v>
      </c>
      <c r="BA55" s="39">
        <v>0.0</v>
      </c>
      <c r="BB55" s="39">
        <v>0.0</v>
      </c>
      <c r="BC55" s="39">
        <v>2411.0</v>
      </c>
      <c r="BD55" s="39">
        <v>0.0</v>
      </c>
      <c r="BE55" s="39">
        <v>0.0</v>
      </c>
      <c r="BF55" s="39">
        <v>0.0</v>
      </c>
      <c r="BG55" s="39">
        <v>0.0</v>
      </c>
      <c r="BH55" s="39">
        <v>0.0</v>
      </c>
      <c r="BI55" s="44"/>
    </row>
    <row r="56">
      <c r="A56" s="38">
        <f t="shared" si="1"/>
        <v>45969</v>
      </c>
      <c r="B56" s="39">
        <v>55.0</v>
      </c>
      <c r="C56" s="39" t="s">
        <v>1394</v>
      </c>
      <c r="D56" s="39">
        <v>1.0</v>
      </c>
      <c r="E56" s="39">
        <v>2.650254113E9</v>
      </c>
      <c r="F56" s="39" t="s">
        <v>1204</v>
      </c>
      <c r="G56" s="39" t="s">
        <v>1395</v>
      </c>
      <c r="H56" s="39" t="s">
        <v>1396</v>
      </c>
      <c r="I56" s="40">
        <v>45969.0</v>
      </c>
      <c r="J56" s="40">
        <v>45971.0</v>
      </c>
      <c r="K56" s="40">
        <v>45972.0</v>
      </c>
      <c r="L56" s="41">
        <v>45972.0</v>
      </c>
      <c r="M56" s="41">
        <v>45972.0</v>
      </c>
      <c r="N56" s="41">
        <v>45974.0</v>
      </c>
      <c r="O56" s="39">
        <v>8.718781954E9</v>
      </c>
      <c r="P56" s="39" t="s">
        <v>1287</v>
      </c>
      <c r="Q56" s="39" t="s">
        <v>1259</v>
      </c>
      <c r="R56" s="39">
        <v>1.0</v>
      </c>
      <c r="S56" s="39">
        <v>96664.0</v>
      </c>
      <c r="T56" s="39">
        <v>119000.0</v>
      </c>
      <c r="U56" s="39">
        <v>0.0</v>
      </c>
      <c r="V56" s="39">
        <v>22336.0</v>
      </c>
      <c r="W56" s="39">
        <v>0.0</v>
      </c>
      <c r="X56" s="39">
        <v>119000.0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5.30626782726E11</v>
      </c>
      <c r="AM56" s="39" t="s">
        <v>1209</v>
      </c>
      <c r="AN56" s="42">
        <v>0.09</v>
      </c>
      <c r="AO56" s="43">
        <v>5302.0</v>
      </c>
      <c r="AP56" s="39">
        <v>0.0</v>
      </c>
      <c r="AQ56" s="39">
        <v>0.0</v>
      </c>
      <c r="AR56" s="39">
        <v>0.0</v>
      </c>
      <c r="AS56" s="39">
        <v>15900.0</v>
      </c>
      <c r="AT56" s="39">
        <v>9140.0</v>
      </c>
      <c r="AU56" s="39">
        <v>6760.0</v>
      </c>
      <c r="AV56" s="39">
        <v>0.0</v>
      </c>
      <c r="AW56" s="39">
        <v>0.0</v>
      </c>
      <c r="AX56" s="39">
        <v>0.0</v>
      </c>
      <c r="AY56" s="39">
        <v>0.0</v>
      </c>
      <c r="AZ56" s="39">
        <v>0.0</v>
      </c>
      <c r="BA56" s="39">
        <v>0.0</v>
      </c>
      <c r="BB56" s="39">
        <v>0.0</v>
      </c>
      <c r="BC56" s="39">
        <v>1134.0</v>
      </c>
      <c r="BD56" s="39">
        <v>0.0</v>
      </c>
      <c r="BE56" s="39">
        <v>0.0</v>
      </c>
      <c r="BF56" s="39">
        <v>0.0</v>
      </c>
      <c r="BG56" s="39">
        <v>0.0</v>
      </c>
      <c r="BH56" s="39">
        <v>0.0</v>
      </c>
      <c r="BI56" s="44"/>
    </row>
    <row r="57">
      <c r="A57" s="38">
        <f t="shared" si="1"/>
        <v>45969</v>
      </c>
      <c r="B57" s="39">
        <v>56.0</v>
      </c>
      <c r="C57" s="39" t="s">
        <v>1397</v>
      </c>
      <c r="D57" s="39">
        <v>3.0</v>
      </c>
      <c r="E57" s="39">
        <v>2.650257668E9</v>
      </c>
      <c r="F57" s="39" t="s">
        <v>1204</v>
      </c>
      <c r="G57" s="39" t="s">
        <v>1398</v>
      </c>
      <c r="H57" s="39" t="s">
        <v>1399</v>
      </c>
      <c r="I57" s="40">
        <v>45969.0</v>
      </c>
      <c r="J57" s="40">
        <v>45971.0</v>
      </c>
      <c r="K57" s="40">
        <v>45972.0</v>
      </c>
      <c r="L57" s="41">
        <v>45980.0</v>
      </c>
      <c r="M57" s="41">
        <v>45980.0</v>
      </c>
      <c r="N57" s="41">
        <v>45982.0</v>
      </c>
      <c r="O57" s="39">
        <v>5.370879772E9</v>
      </c>
      <c r="P57" s="39" t="s">
        <v>1246</v>
      </c>
      <c r="Q57" s="39" t="s">
        <v>1400</v>
      </c>
      <c r="R57" s="39">
        <v>1.0</v>
      </c>
      <c r="S57" s="39">
        <v>24356.0</v>
      </c>
      <c r="T57" s="39">
        <v>33000.0</v>
      </c>
      <c r="U57" s="39">
        <v>0.0</v>
      </c>
      <c r="V57" s="39">
        <v>8644.0</v>
      </c>
      <c r="W57" s="39">
        <v>0.0</v>
      </c>
      <c r="X57" s="39">
        <v>33000.0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4.60786489321E11</v>
      </c>
      <c r="AM57" s="39" t="s">
        <v>1209</v>
      </c>
      <c r="AN57" s="42">
        <v>0.09</v>
      </c>
      <c r="AO57" s="43">
        <v>1394.0</v>
      </c>
      <c r="AP57" s="39">
        <v>0.0</v>
      </c>
      <c r="AQ57" s="39">
        <v>0.0</v>
      </c>
      <c r="AR57" s="39">
        <v>0.0</v>
      </c>
      <c r="AS57" s="39">
        <v>7030.0</v>
      </c>
      <c r="AT57" s="39">
        <v>5060.0</v>
      </c>
      <c r="AU57" s="39">
        <v>1970.0</v>
      </c>
      <c r="AV57" s="39">
        <v>0.0</v>
      </c>
      <c r="AW57" s="39">
        <v>0.0</v>
      </c>
      <c r="AX57" s="39">
        <v>0.0</v>
      </c>
      <c r="AY57" s="39">
        <v>0.0</v>
      </c>
      <c r="AZ57" s="39">
        <v>0.0</v>
      </c>
      <c r="BA57" s="39">
        <v>0.0</v>
      </c>
      <c r="BB57" s="39">
        <v>0.0</v>
      </c>
      <c r="BC57" s="39">
        <v>220.0</v>
      </c>
      <c r="BD57" s="39">
        <v>0.0</v>
      </c>
      <c r="BE57" s="39">
        <v>0.0</v>
      </c>
      <c r="BF57" s="39">
        <v>0.0</v>
      </c>
      <c r="BG57" s="39">
        <v>0.0</v>
      </c>
      <c r="BH57" s="39">
        <v>0.0</v>
      </c>
      <c r="BI57" s="44"/>
    </row>
    <row r="58">
      <c r="A58" s="38">
        <f t="shared" si="1"/>
        <v>45969</v>
      </c>
      <c r="B58" s="39">
        <v>57.0</v>
      </c>
      <c r="C58" s="39" t="s">
        <v>1401</v>
      </c>
      <c r="D58" s="39">
        <v>1.0</v>
      </c>
      <c r="E58" s="39">
        <v>2.650268015E9</v>
      </c>
      <c r="F58" s="39" t="s">
        <v>1204</v>
      </c>
      <c r="G58" s="39" t="s">
        <v>1402</v>
      </c>
      <c r="H58" s="39" t="s">
        <v>1403</v>
      </c>
      <c r="I58" s="40">
        <v>45969.0</v>
      </c>
      <c r="J58" s="40">
        <v>45971.0</v>
      </c>
      <c r="K58" s="40">
        <v>45972.0</v>
      </c>
      <c r="L58" s="41">
        <v>45980.0</v>
      </c>
      <c r="M58" s="41">
        <v>45980.0</v>
      </c>
      <c r="N58" s="41">
        <v>45982.0</v>
      </c>
      <c r="O58" s="39">
        <v>5.370879772E9</v>
      </c>
      <c r="P58" s="39" t="s">
        <v>1246</v>
      </c>
      <c r="Q58" s="39" t="s">
        <v>1271</v>
      </c>
      <c r="R58" s="39">
        <v>1.0</v>
      </c>
      <c r="S58" s="39">
        <v>24156.0</v>
      </c>
      <c r="T58" s="39">
        <v>33000.0</v>
      </c>
      <c r="U58" s="39">
        <v>0.0</v>
      </c>
      <c r="V58" s="39">
        <v>8844.0</v>
      </c>
      <c r="W58" s="39">
        <v>0.0</v>
      </c>
      <c r="X58" s="39">
        <v>33000.0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4.60786489343E11</v>
      </c>
      <c r="AM58" s="39" t="s">
        <v>1209</v>
      </c>
      <c r="AN58" s="42">
        <v>0.09</v>
      </c>
      <c r="AO58" s="39">
        <v>0.0</v>
      </c>
      <c r="AP58" s="39">
        <v>0.0</v>
      </c>
      <c r="AQ58" s="39">
        <v>0.0</v>
      </c>
      <c r="AR58" s="39">
        <v>0.0</v>
      </c>
      <c r="AS58" s="39">
        <v>8624.0</v>
      </c>
      <c r="AT58" s="39">
        <v>5060.0</v>
      </c>
      <c r="AU58" s="39">
        <v>3564.0</v>
      </c>
      <c r="AV58" s="39">
        <v>406.0</v>
      </c>
      <c r="AW58" s="39">
        <v>0.0</v>
      </c>
      <c r="AX58" s="39">
        <v>0.0</v>
      </c>
      <c r="AY58" s="39">
        <v>0.0</v>
      </c>
      <c r="AZ58" s="39">
        <v>0.0</v>
      </c>
      <c r="BA58" s="39">
        <v>0.0</v>
      </c>
      <c r="BB58" s="39">
        <v>0.0</v>
      </c>
      <c r="BC58" s="39">
        <v>220.0</v>
      </c>
      <c r="BD58" s="39">
        <v>0.0</v>
      </c>
      <c r="BE58" s="39">
        <v>0.0</v>
      </c>
      <c r="BF58" s="39">
        <v>0.0</v>
      </c>
      <c r="BG58" s="39">
        <v>0.0</v>
      </c>
      <c r="BH58" s="39">
        <v>0.0</v>
      </c>
      <c r="BI58" s="44"/>
    </row>
    <row r="59">
      <c r="A59" s="38">
        <f t="shared" si="1"/>
        <v>45969</v>
      </c>
      <c r="B59" s="39">
        <v>58.0</v>
      </c>
      <c r="C59" s="39" t="s">
        <v>1404</v>
      </c>
      <c r="D59" s="39">
        <v>1.0</v>
      </c>
      <c r="E59" s="39">
        <v>2.650317439E9</v>
      </c>
      <c r="F59" s="39" t="s">
        <v>1204</v>
      </c>
      <c r="G59" s="39" t="s">
        <v>1405</v>
      </c>
      <c r="H59" s="39" t="s">
        <v>1406</v>
      </c>
      <c r="I59" s="40">
        <v>45969.0</v>
      </c>
      <c r="J59" s="40">
        <v>45971.0</v>
      </c>
      <c r="K59" s="40">
        <v>45972.0</v>
      </c>
      <c r="L59" s="41">
        <v>45980.0</v>
      </c>
      <c r="M59" s="41">
        <v>45980.0</v>
      </c>
      <c r="N59" s="41">
        <v>45982.0</v>
      </c>
      <c r="O59" s="39">
        <v>6.342749718E9</v>
      </c>
      <c r="P59" s="39" t="s">
        <v>1213</v>
      </c>
      <c r="Q59" s="39" t="s">
        <v>1214</v>
      </c>
      <c r="R59" s="39">
        <v>1.0</v>
      </c>
      <c r="S59" s="39">
        <v>23131.0</v>
      </c>
      <c r="T59" s="39">
        <v>59000.0</v>
      </c>
      <c r="U59" s="39">
        <v>0.0</v>
      </c>
      <c r="V59" s="39">
        <v>35869.0</v>
      </c>
      <c r="W59" s="39">
        <v>23131.0</v>
      </c>
      <c r="X59" s="39">
        <v>59000.0</v>
      </c>
      <c r="Y59" s="39">
        <v>0.0</v>
      </c>
      <c r="Z59" s="39">
        <v>0.0</v>
      </c>
      <c r="AA59" s="39">
        <v>0.0</v>
      </c>
      <c r="AB59" s="39">
        <v>0.0</v>
      </c>
      <c r="AC59" s="39">
        <v>0.0</v>
      </c>
      <c r="AD59" s="39">
        <v>0.0</v>
      </c>
      <c r="AE59" s="39">
        <v>0.0</v>
      </c>
      <c r="AF59" s="39">
        <v>0.0</v>
      </c>
      <c r="AG59" s="39">
        <v>0.0</v>
      </c>
      <c r="AH59" s="39">
        <v>0.0</v>
      </c>
      <c r="AI59" s="39">
        <v>0.0</v>
      </c>
      <c r="AJ59" s="39">
        <v>0.0</v>
      </c>
      <c r="AK59" s="39">
        <v>0.0</v>
      </c>
      <c r="AL59" s="39">
        <v>4.60786489365E11</v>
      </c>
      <c r="AM59" s="39" t="s">
        <v>1209</v>
      </c>
      <c r="AN59" s="42">
        <v>0.09</v>
      </c>
      <c r="AO59" s="43">
        <v>2038.0</v>
      </c>
      <c r="AP59" s="39">
        <v>0.0</v>
      </c>
      <c r="AQ59" s="39">
        <v>0.0</v>
      </c>
      <c r="AR59" s="39">
        <v>0.0</v>
      </c>
      <c r="AS59" s="39">
        <v>33330.0</v>
      </c>
      <c r="AT59" s="39">
        <v>29240.0</v>
      </c>
      <c r="AU59" s="39">
        <v>4090.0</v>
      </c>
      <c r="AV59" s="39">
        <v>0.0</v>
      </c>
      <c r="AW59" s="39">
        <v>0.0</v>
      </c>
      <c r="AX59" s="39">
        <v>0.0</v>
      </c>
      <c r="AY59" s="39">
        <v>0.0</v>
      </c>
      <c r="AZ59" s="39">
        <v>0.0</v>
      </c>
      <c r="BA59" s="39">
        <v>0.0</v>
      </c>
      <c r="BB59" s="39">
        <v>0.0</v>
      </c>
      <c r="BC59" s="39">
        <v>501.0</v>
      </c>
      <c r="BD59" s="39">
        <v>0.0</v>
      </c>
      <c r="BE59" s="39">
        <v>0.0</v>
      </c>
      <c r="BF59" s="39">
        <v>0.0</v>
      </c>
      <c r="BG59" s="39">
        <v>0.0</v>
      </c>
      <c r="BH59" s="39">
        <v>0.0</v>
      </c>
      <c r="BI59" s="44"/>
    </row>
    <row r="60">
      <c r="A60" s="38">
        <f t="shared" si="1"/>
        <v>45970</v>
      </c>
      <c r="B60" s="39">
        <v>59.0</v>
      </c>
      <c r="C60" s="39" t="s">
        <v>1407</v>
      </c>
      <c r="D60" s="39">
        <v>1.0</v>
      </c>
      <c r="E60" s="39">
        <v>2.650400777E9</v>
      </c>
      <c r="F60" s="39" t="s">
        <v>1204</v>
      </c>
      <c r="G60" s="39" t="s">
        <v>1408</v>
      </c>
      <c r="H60" s="39" t="s">
        <v>1409</v>
      </c>
      <c r="I60" s="40">
        <v>45970.0</v>
      </c>
      <c r="J60" s="40">
        <v>45971.0</v>
      </c>
      <c r="K60" s="40">
        <v>45972.0</v>
      </c>
      <c r="L60" s="41">
        <v>45980.0</v>
      </c>
      <c r="M60" s="41">
        <v>45980.0</v>
      </c>
      <c r="N60" s="41">
        <v>45982.0</v>
      </c>
      <c r="O60" s="39">
        <v>7.175614365E9</v>
      </c>
      <c r="P60" s="39" t="s">
        <v>1263</v>
      </c>
      <c r="Q60" s="39" t="s">
        <v>1219</v>
      </c>
      <c r="R60" s="39">
        <v>1.0</v>
      </c>
      <c r="S60" s="39">
        <v>11602.0</v>
      </c>
      <c r="T60" s="39">
        <v>15000.0</v>
      </c>
      <c r="U60" s="39">
        <v>0.0</v>
      </c>
      <c r="V60" s="39">
        <v>3398.0</v>
      </c>
      <c r="W60" s="39">
        <v>0.0</v>
      </c>
      <c r="X60" s="39">
        <v>15000.0</v>
      </c>
      <c r="Y60" s="39">
        <v>0.0</v>
      </c>
      <c r="Z60" s="39">
        <v>0.0</v>
      </c>
      <c r="AA60" s="39">
        <v>0.0</v>
      </c>
      <c r="AB60" s="39">
        <v>0.0</v>
      </c>
      <c r="AC60" s="39">
        <v>0.0</v>
      </c>
      <c r="AD60" s="39">
        <v>0.0</v>
      </c>
      <c r="AE60" s="39">
        <v>0.0</v>
      </c>
      <c r="AF60" s="39">
        <v>0.0</v>
      </c>
      <c r="AG60" s="39">
        <v>0.0</v>
      </c>
      <c r="AH60" s="39">
        <v>0.0</v>
      </c>
      <c r="AI60" s="39">
        <v>0.0</v>
      </c>
      <c r="AJ60" s="39">
        <v>0.0</v>
      </c>
      <c r="AK60" s="39">
        <v>0.0</v>
      </c>
      <c r="AL60" s="39">
        <v>4.60786489376E11</v>
      </c>
      <c r="AM60" s="39" t="s">
        <v>1209</v>
      </c>
      <c r="AN60" s="42">
        <v>0.09</v>
      </c>
      <c r="AO60" s="39">
        <v>870.0</v>
      </c>
      <c r="AP60" s="39">
        <v>0.0</v>
      </c>
      <c r="AQ60" s="39">
        <v>0.0</v>
      </c>
      <c r="AR60" s="39">
        <v>0.0</v>
      </c>
      <c r="AS60" s="39">
        <v>1500.0</v>
      </c>
      <c r="AT60" s="39">
        <v>900.0</v>
      </c>
      <c r="AU60" s="39">
        <v>600.0</v>
      </c>
      <c r="AV60" s="39">
        <v>0.0</v>
      </c>
      <c r="AW60" s="39">
        <v>0.0</v>
      </c>
      <c r="AX60" s="39">
        <v>0.0</v>
      </c>
      <c r="AY60" s="39">
        <v>0.0</v>
      </c>
      <c r="AZ60" s="39">
        <v>0.0</v>
      </c>
      <c r="BA60" s="39">
        <v>0.0</v>
      </c>
      <c r="BB60" s="39">
        <v>0.0</v>
      </c>
      <c r="BC60" s="39">
        <v>1028.0</v>
      </c>
      <c r="BD60" s="39">
        <v>0.0</v>
      </c>
      <c r="BE60" s="39">
        <v>0.0</v>
      </c>
      <c r="BF60" s="39">
        <v>0.0</v>
      </c>
      <c r="BG60" s="39">
        <v>0.0</v>
      </c>
      <c r="BH60" s="39">
        <v>0.0</v>
      </c>
      <c r="BI60" s="44"/>
    </row>
    <row r="61">
      <c r="A61" s="38">
        <f t="shared" si="1"/>
        <v>45970</v>
      </c>
      <c r="B61" s="39">
        <v>60.0</v>
      </c>
      <c r="C61" s="39" t="s">
        <v>1410</v>
      </c>
      <c r="D61" s="39">
        <v>3.0</v>
      </c>
      <c r="E61" s="39">
        <v>2.650404276E9</v>
      </c>
      <c r="F61" s="39" t="s">
        <v>1204</v>
      </c>
      <c r="G61" s="39" t="s">
        <v>1411</v>
      </c>
      <c r="H61" s="39" t="s">
        <v>1412</v>
      </c>
      <c r="I61" s="40">
        <v>45970.0</v>
      </c>
      <c r="J61" s="40">
        <v>45971.0</v>
      </c>
      <c r="K61" s="40">
        <v>45972.0</v>
      </c>
      <c r="L61" s="41">
        <v>45980.0</v>
      </c>
      <c r="M61" s="41">
        <v>45980.0</v>
      </c>
      <c r="N61" s="41">
        <v>45982.0</v>
      </c>
      <c r="O61" s="39">
        <v>7.175614365E9</v>
      </c>
      <c r="P61" s="39" t="s">
        <v>1263</v>
      </c>
      <c r="Q61" s="39" t="s">
        <v>1219</v>
      </c>
      <c r="R61" s="39">
        <v>1.0</v>
      </c>
      <c r="S61" s="39">
        <v>11602.0</v>
      </c>
      <c r="T61" s="39">
        <v>15000.0</v>
      </c>
      <c r="U61" s="39">
        <v>0.0</v>
      </c>
      <c r="V61" s="39">
        <v>3398.0</v>
      </c>
      <c r="W61" s="39">
        <v>0.0</v>
      </c>
      <c r="X61" s="39">
        <v>15000.0</v>
      </c>
      <c r="Y61" s="39">
        <v>0.0</v>
      </c>
      <c r="Z61" s="39">
        <v>0.0</v>
      </c>
      <c r="AA61" s="39">
        <v>0.0</v>
      </c>
      <c r="AB61" s="39">
        <v>0.0</v>
      </c>
      <c r="AC61" s="39">
        <v>0.0</v>
      </c>
      <c r="AD61" s="39">
        <v>0.0</v>
      </c>
      <c r="AE61" s="39">
        <v>0.0</v>
      </c>
      <c r="AF61" s="39">
        <v>0.0</v>
      </c>
      <c r="AG61" s="39">
        <v>0.0</v>
      </c>
      <c r="AH61" s="39">
        <v>0.0</v>
      </c>
      <c r="AI61" s="39">
        <v>0.0</v>
      </c>
      <c r="AJ61" s="39">
        <v>0.0</v>
      </c>
      <c r="AK61" s="39">
        <v>0.0</v>
      </c>
      <c r="AL61" s="39">
        <v>4.6078648938E11</v>
      </c>
      <c r="AM61" s="39" t="s">
        <v>1209</v>
      </c>
      <c r="AN61" s="42">
        <v>0.09</v>
      </c>
      <c r="AO61" s="39">
        <v>870.0</v>
      </c>
      <c r="AP61" s="39">
        <v>0.0</v>
      </c>
      <c r="AQ61" s="39">
        <v>0.0</v>
      </c>
      <c r="AR61" s="39">
        <v>0.0</v>
      </c>
      <c r="AS61" s="39">
        <v>1500.0</v>
      </c>
      <c r="AT61" s="39">
        <v>900.0</v>
      </c>
      <c r="AU61" s="39">
        <v>600.0</v>
      </c>
      <c r="AV61" s="39">
        <v>0.0</v>
      </c>
      <c r="AW61" s="39">
        <v>0.0</v>
      </c>
      <c r="AX61" s="39">
        <v>0.0</v>
      </c>
      <c r="AY61" s="39">
        <v>0.0</v>
      </c>
      <c r="AZ61" s="39">
        <v>0.0</v>
      </c>
      <c r="BA61" s="39">
        <v>0.0</v>
      </c>
      <c r="BB61" s="39">
        <v>0.0</v>
      </c>
      <c r="BC61" s="39">
        <v>1028.0</v>
      </c>
      <c r="BD61" s="39">
        <v>0.0</v>
      </c>
      <c r="BE61" s="39">
        <v>0.0</v>
      </c>
      <c r="BF61" s="39">
        <v>0.0</v>
      </c>
      <c r="BG61" s="39">
        <v>0.0</v>
      </c>
      <c r="BH61" s="39">
        <v>0.0</v>
      </c>
      <c r="BI61" s="44"/>
    </row>
    <row r="62">
      <c r="A62" s="38">
        <f t="shared" si="1"/>
        <v>45970</v>
      </c>
      <c r="B62" s="39">
        <v>61.0</v>
      </c>
      <c r="C62" s="39" t="s">
        <v>1413</v>
      </c>
      <c r="D62" s="39">
        <v>1.0</v>
      </c>
      <c r="E62" s="39">
        <v>2.650458895E9</v>
      </c>
      <c r="F62" s="39" t="s">
        <v>1204</v>
      </c>
      <c r="G62" s="39" t="s">
        <v>1414</v>
      </c>
      <c r="H62" s="39" t="s">
        <v>1415</v>
      </c>
      <c r="I62" s="40">
        <v>45970.0</v>
      </c>
      <c r="J62" s="40">
        <v>45971.0</v>
      </c>
      <c r="K62" s="40">
        <v>45972.0</v>
      </c>
      <c r="L62" s="41">
        <v>45972.0</v>
      </c>
      <c r="M62" s="41">
        <v>45972.0</v>
      </c>
      <c r="N62" s="41">
        <v>45974.0</v>
      </c>
      <c r="O62" s="39">
        <v>7.996735307E9</v>
      </c>
      <c r="P62" s="39" t="s">
        <v>1416</v>
      </c>
      <c r="Q62" s="39" t="s">
        <v>1208</v>
      </c>
      <c r="R62" s="39">
        <v>1.0</v>
      </c>
      <c r="S62" s="39">
        <v>11333.0</v>
      </c>
      <c r="T62" s="39">
        <v>15000.0</v>
      </c>
      <c r="U62" s="39">
        <v>0.0</v>
      </c>
      <c r="V62" s="39">
        <v>3667.0</v>
      </c>
      <c r="W62" s="39">
        <v>11333.0</v>
      </c>
      <c r="X62" s="39">
        <v>15000.0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4.60786489391E11</v>
      </c>
      <c r="AM62" s="39" t="s">
        <v>1209</v>
      </c>
      <c r="AN62" s="42">
        <v>0.09</v>
      </c>
      <c r="AO62" s="43">
        <v>870.0</v>
      </c>
      <c r="AP62" s="39">
        <v>0.0</v>
      </c>
      <c r="AQ62" s="39">
        <v>0.0</v>
      </c>
      <c r="AR62" s="39">
        <v>0.0</v>
      </c>
      <c r="AS62" s="39">
        <v>1500.0</v>
      </c>
      <c r="AT62" s="39">
        <v>900.0</v>
      </c>
      <c r="AU62" s="39">
        <v>600.0</v>
      </c>
      <c r="AV62" s="39">
        <v>0.0</v>
      </c>
      <c r="AW62" s="39">
        <v>0.0</v>
      </c>
      <c r="AX62" s="39">
        <v>0.0</v>
      </c>
      <c r="AY62" s="39">
        <v>0.0</v>
      </c>
      <c r="AZ62" s="39">
        <v>0.0</v>
      </c>
      <c r="BA62" s="39">
        <v>0.0</v>
      </c>
      <c r="BB62" s="39">
        <v>0.0</v>
      </c>
      <c r="BC62" s="39">
        <v>1297.0</v>
      </c>
      <c r="BD62" s="39">
        <v>0.0</v>
      </c>
      <c r="BE62" s="39">
        <v>0.0</v>
      </c>
      <c r="BF62" s="39">
        <v>0.0</v>
      </c>
      <c r="BG62" s="39">
        <v>0.0</v>
      </c>
      <c r="BH62" s="39">
        <v>0.0</v>
      </c>
      <c r="BI62" s="44"/>
    </row>
    <row r="63">
      <c r="A63" s="38">
        <f t="shared" si="1"/>
        <v>45971</v>
      </c>
      <c r="B63" s="39">
        <v>62.0</v>
      </c>
      <c r="C63" s="39">
        <v>2.02511100125137E16</v>
      </c>
      <c r="D63" s="39">
        <v>1.0</v>
      </c>
      <c r="E63" s="39">
        <v>2.65072074E9</v>
      </c>
      <c r="F63" s="39" t="s">
        <v>1204</v>
      </c>
      <c r="G63" s="39" t="s">
        <v>1417</v>
      </c>
      <c r="H63" s="39" t="s">
        <v>1418</v>
      </c>
      <c r="I63" s="40">
        <v>45971.0</v>
      </c>
      <c r="J63" s="40">
        <v>45971.0</v>
      </c>
      <c r="K63" s="40">
        <v>45972.0</v>
      </c>
      <c r="L63" s="41">
        <v>45980.0</v>
      </c>
      <c r="M63" s="41">
        <v>45980.0</v>
      </c>
      <c r="N63" s="41">
        <v>45982.0</v>
      </c>
      <c r="O63" s="39">
        <v>4.232346825E9</v>
      </c>
      <c r="P63" s="39" t="s">
        <v>1419</v>
      </c>
      <c r="Q63" s="39" t="s">
        <v>1219</v>
      </c>
      <c r="R63" s="39">
        <v>1.0</v>
      </c>
      <c r="S63" s="39">
        <v>15649.0</v>
      </c>
      <c r="T63" s="39">
        <v>19900.0</v>
      </c>
      <c r="U63" s="39">
        <v>0.0</v>
      </c>
      <c r="V63" s="39">
        <v>4251.0</v>
      </c>
      <c r="W63" s="39">
        <v>0.0</v>
      </c>
      <c r="X63" s="39">
        <v>19900.0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</v>
      </c>
      <c r="AK63" s="39">
        <v>0.0</v>
      </c>
      <c r="AL63" s="39">
        <v>4.60786489402E11</v>
      </c>
      <c r="AM63" s="39" t="s">
        <v>1209</v>
      </c>
      <c r="AN63" s="42">
        <v>0.13</v>
      </c>
      <c r="AO63" s="43">
        <v>1955.0</v>
      </c>
      <c r="AP63" s="39">
        <v>0.0</v>
      </c>
      <c r="AQ63" s="39">
        <v>0.0</v>
      </c>
      <c r="AR63" s="39">
        <v>0.0</v>
      </c>
      <c r="AS63" s="39">
        <v>1990.0</v>
      </c>
      <c r="AT63" s="39">
        <v>1200.0</v>
      </c>
      <c r="AU63" s="39">
        <v>790.0</v>
      </c>
      <c r="AV63" s="39">
        <v>0.0</v>
      </c>
      <c r="AW63" s="39">
        <v>0.0</v>
      </c>
      <c r="AX63" s="39">
        <v>0.0</v>
      </c>
      <c r="AY63" s="39">
        <v>0.0</v>
      </c>
      <c r="AZ63" s="39">
        <v>0.0</v>
      </c>
      <c r="BA63" s="39">
        <v>0.0</v>
      </c>
      <c r="BB63" s="39">
        <v>0.0</v>
      </c>
      <c r="BC63" s="39">
        <v>306.0</v>
      </c>
      <c r="BD63" s="39">
        <v>0.0</v>
      </c>
      <c r="BE63" s="39">
        <v>0.0</v>
      </c>
      <c r="BF63" s="39">
        <v>0.0</v>
      </c>
      <c r="BG63" s="39">
        <v>0.0</v>
      </c>
      <c r="BH63" s="39">
        <v>0.0</v>
      </c>
      <c r="BI63" s="44"/>
    </row>
    <row r="64">
      <c r="A64" s="38">
        <f t="shared" si="1"/>
        <v>45971</v>
      </c>
      <c r="B64" s="39">
        <v>63.0</v>
      </c>
      <c r="C64" s="39" t="s">
        <v>1420</v>
      </c>
      <c r="D64" s="39">
        <v>1.0</v>
      </c>
      <c r="E64" s="39">
        <v>2.650724039E9</v>
      </c>
      <c r="F64" s="39" t="s">
        <v>1204</v>
      </c>
      <c r="G64" s="39" t="s">
        <v>1421</v>
      </c>
      <c r="H64" s="39" t="s">
        <v>1422</v>
      </c>
      <c r="I64" s="40">
        <v>45971.0</v>
      </c>
      <c r="J64" s="40">
        <v>45971.0</v>
      </c>
      <c r="K64" s="40">
        <v>45972.0</v>
      </c>
      <c r="L64" s="41">
        <v>45973.0</v>
      </c>
      <c r="M64" s="41">
        <v>45973.0</v>
      </c>
      <c r="N64" s="41">
        <v>45975.0</v>
      </c>
      <c r="O64" s="39">
        <v>6.546161396E9</v>
      </c>
      <c r="P64" s="39" t="s">
        <v>1231</v>
      </c>
      <c r="Q64" s="39" t="s">
        <v>1236</v>
      </c>
      <c r="R64" s="39">
        <v>1.0</v>
      </c>
      <c r="S64" s="39">
        <v>12937.0</v>
      </c>
      <c r="T64" s="39">
        <v>18000.0</v>
      </c>
      <c r="U64" s="39">
        <v>0.0</v>
      </c>
      <c r="V64" s="39">
        <v>5063.0</v>
      </c>
      <c r="W64" s="39">
        <v>12937.0</v>
      </c>
      <c r="X64" s="39">
        <v>18000.0</v>
      </c>
      <c r="Y64" s="39">
        <v>0.0</v>
      </c>
      <c r="Z64" s="39">
        <v>0.0</v>
      </c>
      <c r="AA64" s="39">
        <v>0.0</v>
      </c>
      <c r="AB64" s="39">
        <v>0.0</v>
      </c>
      <c r="AC64" s="39">
        <v>0.0</v>
      </c>
      <c r="AD64" s="39">
        <v>0.0</v>
      </c>
      <c r="AE64" s="39">
        <v>0.0</v>
      </c>
      <c r="AF64" s="39">
        <v>0.0</v>
      </c>
      <c r="AG64" s="39">
        <v>0.0</v>
      </c>
      <c r="AH64" s="39">
        <v>0.0</v>
      </c>
      <c r="AI64" s="39">
        <v>0.0</v>
      </c>
      <c r="AJ64" s="39">
        <v>0.0</v>
      </c>
      <c r="AK64" s="39">
        <v>0.0</v>
      </c>
      <c r="AL64" s="39">
        <v>4.60786489413E11</v>
      </c>
      <c r="AM64" s="39" t="s">
        <v>1209</v>
      </c>
      <c r="AN64" s="42">
        <v>0.11</v>
      </c>
      <c r="AO64" s="43">
        <v>1124.0</v>
      </c>
      <c r="AP64" s="39">
        <v>0.0</v>
      </c>
      <c r="AQ64" s="39">
        <v>0.0</v>
      </c>
      <c r="AR64" s="39">
        <v>0.0</v>
      </c>
      <c r="AS64" s="39">
        <v>2780.0</v>
      </c>
      <c r="AT64" s="39">
        <v>1710.0</v>
      </c>
      <c r="AU64" s="39">
        <v>1070.0</v>
      </c>
      <c r="AV64" s="39">
        <v>0.0</v>
      </c>
      <c r="AW64" s="39">
        <v>0.0</v>
      </c>
      <c r="AX64" s="39">
        <v>0.0</v>
      </c>
      <c r="AY64" s="39">
        <v>0.0</v>
      </c>
      <c r="AZ64" s="39">
        <v>0.0</v>
      </c>
      <c r="BA64" s="39">
        <v>0.0</v>
      </c>
      <c r="BB64" s="39">
        <v>0.0</v>
      </c>
      <c r="BC64" s="39">
        <v>1159.0</v>
      </c>
      <c r="BD64" s="39">
        <v>0.0</v>
      </c>
      <c r="BE64" s="39">
        <v>0.0</v>
      </c>
      <c r="BF64" s="39">
        <v>0.0</v>
      </c>
      <c r="BG64" s="39">
        <v>0.0</v>
      </c>
      <c r="BH64" s="39">
        <v>0.0</v>
      </c>
      <c r="BI64" s="44"/>
    </row>
    <row r="65">
      <c r="A65" s="38">
        <f t="shared" si="1"/>
        <v>45971</v>
      </c>
      <c r="B65" s="39">
        <v>64.0</v>
      </c>
      <c r="C65" s="39" t="s">
        <v>1423</v>
      </c>
      <c r="D65" s="39">
        <v>1.0</v>
      </c>
      <c r="E65" s="39">
        <v>2.650812329E9</v>
      </c>
      <c r="F65" s="39" t="s">
        <v>1204</v>
      </c>
      <c r="G65" s="39" t="s">
        <v>1424</v>
      </c>
      <c r="H65" s="39" t="s">
        <v>1425</v>
      </c>
      <c r="I65" s="40">
        <v>45971.0</v>
      </c>
      <c r="J65" s="40">
        <v>45971.0</v>
      </c>
      <c r="K65" s="40">
        <v>45972.0</v>
      </c>
      <c r="L65" s="41">
        <v>45972.0</v>
      </c>
      <c r="M65" s="41">
        <v>45972.0</v>
      </c>
      <c r="N65" s="41">
        <v>45974.0</v>
      </c>
      <c r="O65" s="39">
        <v>5.95337221E9</v>
      </c>
      <c r="P65" s="39" t="s">
        <v>1426</v>
      </c>
      <c r="Q65" s="39" t="s">
        <v>1427</v>
      </c>
      <c r="R65" s="39">
        <v>1.0</v>
      </c>
      <c r="S65" s="39">
        <v>22353.0</v>
      </c>
      <c r="T65" s="39">
        <v>30000.0</v>
      </c>
      <c r="U65" s="39">
        <v>0.0</v>
      </c>
      <c r="V65" s="39">
        <v>7647.0</v>
      </c>
      <c r="W65" s="39">
        <v>0.0</v>
      </c>
      <c r="X65" s="39">
        <v>30000.0</v>
      </c>
      <c r="Y65" s="39">
        <v>0.0</v>
      </c>
      <c r="Z65" s="39">
        <v>0.0</v>
      </c>
      <c r="AA65" s="39">
        <v>0.0</v>
      </c>
      <c r="AB65" s="39">
        <v>0.0</v>
      </c>
      <c r="AC65" s="39">
        <v>0.0</v>
      </c>
      <c r="AD65" s="39">
        <v>0.0</v>
      </c>
      <c r="AE65" s="39">
        <v>0.0</v>
      </c>
      <c r="AF65" s="39">
        <v>0.0</v>
      </c>
      <c r="AG65" s="39">
        <v>0.0</v>
      </c>
      <c r="AH65" s="39">
        <v>0.0</v>
      </c>
      <c r="AI65" s="39">
        <v>0.0</v>
      </c>
      <c r="AJ65" s="39">
        <v>0.0</v>
      </c>
      <c r="AK65" s="39">
        <v>0.0</v>
      </c>
      <c r="AL65" s="39">
        <v>4.60796407536E11</v>
      </c>
      <c r="AM65" s="39" t="s">
        <v>1209</v>
      </c>
      <c r="AN65" s="42">
        <v>0.09</v>
      </c>
      <c r="AO65" s="43">
        <v>0.0</v>
      </c>
      <c r="AP65" s="39">
        <v>0.0</v>
      </c>
      <c r="AQ65" s="39">
        <v>0.0</v>
      </c>
      <c r="AR65" s="39">
        <v>0.0</v>
      </c>
      <c r="AS65" s="39">
        <v>6030.0</v>
      </c>
      <c r="AT65" s="39">
        <v>2790.0</v>
      </c>
      <c r="AU65" s="39">
        <v>3240.0</v>
      </c>
      <c r="AV65" s="39">
        <v>550.0</v>
      </c>
      <c r="AW65" s="39">
        <v>0.0</v>
      </c>
      <c r="AX65" s="39">
        <v>0.0</v>
      </c>
      <c r="AY65" s="39">
        <v>0.0</v>
      </c>
      <c r="AZ65" s="39">
        <v>0.0</v>
      </c>
      <c r="BA65" s="39">
        <v>0.0</v>
      </c>
      <c r="BB65" s="39">
        <v>0.0</v>
      </c>
      <c r="BC65" s="39">
        <v>1617.0</v>
      </c>
      <c r="BD65" s="39">
        <v>0.0</v>
      </c>
      <c r="BE65" s="39">
        <v>0.0</v>
      </c>
      <c r="BF65" s="39">
        <v>0.0</v>
      </c>
      <c r="BG65" s="39">
        <v>0.0</v>
      </c>
      <c r="BH65" s="39">
        <v>0.0</v>
      </c>
      <c r="BI65" s="44"/>
    </row>
    <row r="66">
      <c r="A66" s="38">
        <f t="shared" si="1"/>
        <v>45971</v>
      </c>
      <c r="B66" s="39">
        <v>65.0</v>
      </c>
      <c r="C66" s="39" t="s">
        <v>1428</v>
      </c>
      <c r="D66" s="39">
        <v>2.0</v>
      </c>
      <c r="E66" s="39">
        <v>2.650903253E9</v>
      </c>
      <c r="F66" s="39" t="s">
        <v>1204</v>
      </c>
      <c r="G66" s="39" t="s">
        <v>1429</v>
      </c>
      <c r="H66" s="39" t="s">
        <v>1430</v>
      </c>
      <c r="I66" s="40">
        <v>45971.0</v>
      </c>
      <c r="J66" s="40">
        <v>45971.0</v>
      </c>
      <c r="K66" s="40">
        <v>45973.0</v>
      </c>
      <c r="L66" s="41">
        <v>45981.0</v>
      </c>
      <c r="M66" s="41">
        <v>45981.0</v>
      </c>
      <c r="N66" s="41">
        <v>45985.0</v>
      </c>
      <c r="O66" s="39">
        <v>6.342749718E9</v>
      </c>
      <c r="P66" s="39" t="s">
        <v>1213</v>
      </c>
      <c r="Q66" s="39" t="s">
        <v>1251</v>
      </c>
      <c r="R66" s="39">
        <v>1.0</v>
      </c>
      <c r="S66" s="39">
        <v>21922.0</v>
      </c>
      <c r="T66" s="39">
        <v>59000.0</v>
      </c>
      <c r="U66" s="39">
        <v>0.0</v>
      </c>
      <c r="V66" s="39">
        <v>37078.0</v>
      </c>
      <c r="W66" s="39">
        <v>21922.0</v>
      </c>
      <c r="X66" s="39">
        <v>59000.0</v>
      </c>
      <c r="Y66" s="39">
        <v>0.0</v>
      </c>
      <c r="Z66" s="39">
        <v>0.0</v>
      </c>
      <c r="AA66" s="39">
        <v>0.0</v>
      </c>
      <c r="AB66" s="39">
        <v>0.0</v>
      </c>
      <c r="AC66" s="39">
        <v>0.0</v>
      </c>
      <c r="AD66" s="39">
        <v>0.0</v>
      </c>
      <c r="AE66" s="39">
        <v>0.0</v>
      </c>
      <c r="AF66" s="39">
        <v>0.0</v>
      </c>
      <c r="AG66" s="39">
        <v>0.0</v>
      </c>
      <c r="AH66" s="39">
        <v>0.0</v>
      </c>
      <c r="AI66" s="39">
        <v>0.0</v>
      </c>
      <c r="AJ66" s="39">
        <v>0.0</v>
      </c>
      <c r="AK66" s="39">
        <v>0.0</v>
      </c>
      <c r="AL66" s="39">
        <v>4.60797828396E11</v>
      </c>
      <c r="AM66" s="39" t="s">
        <v>1209</v>
      </c>
      <c r="AN66" s="42">
        <v>0.09</v>
      </c>
      <c r="AO66" s="43">
        <v>3638.0</v>
      </c>
      <c r="AP66" s="39">
        <v>0.0</v>
      </c>
      <c r="AQ66" s="39">
        <v>0.0</v>
      </c>
      <c r="AR66" s="39">
        <v>0.0</v>
      </c>
      <c r="AS66" s="39">
        <v>31330.0</v>
      </c>
      <c r="AT66" s="39">
        <v>29240.0</v>
      </c>
      <c r="AU66" s="39">
        <v>2090.0</v>
      </c>
      <c r="AV66" s="39">
        <v>0.0</v>
      </c>
      <c r="AW66" s="39">
        <v>2000.0</v>
      </c>
      <c r="AX66" s="39">
        <v>0.0</v>
      </c>
      <c r="AY66" s="39">
        <v>0.0</v>
      </c>
      <c r="AZ66" s="39">
        <v>0.0</v>
      </c>
      <c r="BA66" s="39">
        <v>0.0</v>
      </c>
      <c r="BB66" s="39">
        <v>0.0</v>
      </c>
      <c r="BC66" s="39">
        <v>110.0</v>
      </c>
      <c r="BD66" s="39">
        <v>0.0</v>
      </c>
      <c r="BE66" s="39">
        <v>0.0</v>
      </c>
      <c r="BF66" s="39">
        <v>0.0</v>
      </c>
      <c r="BG66" s="39">
        <v>0.0</v>
      </c>
      <c r="BH66" s="39">
        <v>0.0</v>
      </c>
      <c r="BI66" s="44"/>
    </row>
    <row r="67">
      <c r="A67" s="38">
        <f t="shared" si="1"/>
        <v>45971</v>
      </c>
      <c r="B67" s="39">
        <v>66.0</v>
      </c>
      <c r="C67" s="39" t="s">
        <v>1428</v>
      </c>
      <c r="D67" s="39">
        <v>3.0</v>
      </c>
      <c r="E67" s="39">
        <v>2.650903253E9</v>
      </c>
      <c r="F67" s="39" t="s">
        <v>1204</v>
      </c>
      <c r="G67" s="39" t="s">
        <v>1429</v>
      </c>
      <c r="H67" s="39" t="s">
        <v>1430</v>
      </c>
      <c r="I67" s="40">
        <v>45971.0</v>
      </c>
      <c r="J67" s="40">
        <v>45971.0</v>
      </c>
      <c r="K67" s="40">
        <v>45973.0</v>
      </c>
      <c r="L67" s="41">
        <v>45981.0</v>
      </c>
      <c r="M67" s="41">
        <v>45981.0</v>
      </c>
      <c r="N67" s="41">
        <v>45985.0</v>
      </c>
      <c r="O67" s="39">
        <v>6.342749718E9</v>
      </c>
      <c r="P67" s="39" t="s">
        <v>1213</v>
      </c>
      <c r="Q67" s="39" t="s">
        <v>1283</v>
      </c>
      <c r="R67" s="39">
        <v>1.0</v>
      </c>
      <c r="S67" s="39">
        <v>21922.0</v>
      </c>
      <c r="T67" s="39">
        <v>59000.0</v>
      </c>
      <c r="U67" s="39">
        <v>0.0</v>
      </c>
      <c r="V67" s="39">
        <v>37078.0</v>
      </c>
      <c r="W67" s="39">
        <v>21922.0</v>
      </c>
      <c r="X67" s="39">
        <v>59000.0</v>
      </c>
      <c r="Y67" s="39">
        <v>0.0</v>
      </c>
      <c r="Z67" s="39">
        <v>0.0</v>
      </c>
      <c r="AA67" s="39">
        <v>0.0</v>
      </c>
      <c r="AB67" s="39">
        <v>0.0</v>
      </c>
      <c r="AC67" s="39">
        <v>0.0</v>
      </c>
      <c r="AD67" s="39">
        <v>0.0</v>
      </c>
      <c r="AE67" s="39">
        <v>0.0</v>
      </c>
      <c r="AF67" s="39">
        <v>0.0</v>
      </c>
      <c r="AG67" s="39">
        <v>0.0</v>
      </c>
      <c r="AH67" s="39">
        <v>0.0</v>
      </c>
      <c r="AI67" s="39">
        <v>0.0</v>
      </c>
      <c r="AJ67" s="39">
        <v>0.0</v>
      </c>
      <c r="AK67" s="39">
        <v>0.0</v>
      </c>
      <c r="AL67" s="39">
        <v>4.60797828396E11</v>
      </c>
      <c r="AM67" s="39" t="s">
        <v>1209</v>
      </c>
      <c r="AN67" s="42">
        <v>0.09</v>
      </c>
      <c r="AO67" s="43">
        <v>3638.0</v>
      </c>
      <c r="AP67" s="39">
        <v>0.0</v>
      </c>
      <c r="AQ67" s="39">
        <v>0.0</v>
      </c>
      <c r="AR67" s="39">
        <v>0.0</v>
      </c>
      <c r="AS67" s="39">
        <v>31330.0</v>
      </c>
      <c r="AT67" s="39">
        <v>29240.0</v>
      </c>
      <c r="AU67" s="39">
        <v>2090.0</v>
      </c>
      <c r="AV67" s="39">
        <v>0.0</v>
      </c>
      <c r="AW67" s="39">
        <v>2000.0</v>
      </c>
      <c r="AX67" s="39">
        <v>0.0</v>
      </c>
      <c r="AY67" s="39">
        <v>0.0</v>
      </c>
      <c r="AZ67" s="39">
        <v>0.0</v>
      </c>
      <c r="BA67" s="39">
        <v>0.0</v>
      </c>
      <c r="BB67" s="39">
        <v>0.0</v>
      </c>
      <c r="BC67" s="39">
        <v>110.0</v>
      </c>
      <c r="BD67" s="39">
        <v>0.0</v>
      </c>
      <c r="BE67" s="39">
        <v>0.0</v>
      </c>
      <c r="BF67" s="39">
        <v>0.0</v>
      </c>
      <c r="BG67" s="39">
        <v>0.0</v>
      </c>
      <c r="BH67" s="39">
        <v>0.0</v>
      </c>
      <c r="BI67" s="44"/>
    </row>
    <row r="68">
      <c r="A68" s="38">
        <f t="shared" si="1"/>
        <v>45971</v>
      </c>
      <c r="B68" s="39">
        <v>67.0</v>
      </c>
      <c r="C68" s="39" t="s">
        <v>1428</v>
      </c>
      <c r="D68" s="39">
        <v>1.0</v>
      </c>
      <c r="E68" s="39">
        <v>2.650903253E9</v>
      </c>
      <c r="F68" s="39" t="s">
        <v>1204</v>
      </c>
      <c r="G68" s="39" t="s">
        <v>1429</v>
      </c>
      <c r="H68" s="39" t="s">
        <v>1430</v>
      </c>
      <c r="I68" s="40">
        <v>45971.0</v>
      </c>
      <c r="J68" s="40">
        <v>45971.0</v>
      </c>
      <c r="K68" s="40">
        <v>45973.0</v>
      </c>
      <c r="L68" s="41">
        <v>45981.0</v>
      </c>
      <c r="M68" s="41">
        <v>45981.0</v>
      </c>
      <c r="N68" s="41">
        <v>45985.0</v>
      </c>
      <c r="O68" s="39">
        <v>6.342749718E9</v>
      </c>
      <c r="P68" s="39" t="s">
        <v>1213</v>
      </c>
      <c r="Q68" s="39" t="s">
        <v>1214</v>
      </c>
      <c r="R68" s="39">
        <v>1.0</v>
      </c>
      <c r="S68" s="39">
        <v>21922.0</v>
      </c>
      <c r="T68" s="39">
        <v>59000.0</v>
      </c>
      <c r="U68" s="39">
        <v>0.0</v>
      </c>
      <c r="V68" s="39">
        <v>37078.0</v>
      </c>
      <c r="W68" s="39">
        <v>21922.0</v>
      </c>
      <c r="X68" s="39">
        <v>59000.0</v>
      </c>
      <c r="Y68" s="39">
        <v>0.0</v>
      </c>
      <c r="Z68" s="39">
        <v>0.0</v>
      </c>
      <c r="AA68" s="39">
        <v>0.0</v>
      </c>
      <c r="AB68" s="39">
        <v>0.0</v>
      </c>
      <c r="AC68" s="39">
        <v>0.0</v>
      </c>
      <c r="AD68" s="39">
        <v>0.0</v>
      </c>
      <c r="AE68" s="39">
        <v>0.0</v>
      </c>
      <c r="AF68" s="39">
        <v>0.0</v>
      </c>
      <c r="AG68" s="39">
        <v>0.0</v>
      </c>
      <c r="AH68" s="39">
        <v>0.0</v>
      </c>
      <c r="AI68" s="39">
        <v>0.0</v>
      </c>
      <c r="AJ68" s="39">
        <v>0.0</v>
      </c>
      <c r="AK68" s="39">
        <v>0.0</v>
      </c>
      <c r="AL68" s="39">
        <v>4.60797828396E11</v>
      </c>
      <c r="AM68" s="39" t="s">
        <v>1209</v>
      </c>
      <c r="AN68" s="42">
        <v>0.09</v>
      </c>
      <c r="AO68" s="43">
        <v>3638.0</v>
      </c>
      <c r="AP68" s="39">
        <v>0.0</v>
      </c>
      <c r="AQ68" s="39">
        <v>0.0</v>
      </c>
      <c r="AR68" s="39">
        <v>0.0</v>
      </c>
      <c r="AS68" s="39">
        <v>31330.0</v>
      </c>
      <c r="AT68" s="39">
        <v>29240.0</v>
      </c>
      <c r="AU68" s="39">
        <v>2090.0</v>
      </c>
      <c r="AV68" s="39">
        <v>0.0</v>
      </c>
      <c r="AW68" s="39">
        <v>2000.0</v>
      </c>
      <c r="AX68" s="39">
        <v>0.0</v>
      </c>
      <c r="AY68" s="39">
        <v>0.0</v>
      </c>
      <c r="AZ68" s="39">
        <v>0.0</v>
      </c>
      <c r="BA68" s="39">
        <v>0.0</v>
      </c>
      <c r="BB68" s="39">
        <v>0.0</v>
      </c>
      <c r="BC68" s="39">
        <v>110.0</v>
      </c>
      <c r="BD68" s="39">
        <v>0.0</v>
      </c>
      <c r="BE68" s="39">
        <v>0.0</v>
      </c>
      <c r="BF68" s="39">
        <v>0.0</v>
      </c>
      <c r="BG68" s="39">
        <v>0.0</v>
      </c>
      <c r="BH68" s="39">
        <v>0.0</v>
      </c>
      <c r="BI68" s="44"/>
    </row>
    <row r="69">
      <c r="A69" s="38">
        <f t="shared" si="1"/>
        <v>45971</v>
      </c>
      <c r="B69" s="39">
        <v>68.0</v>
      </c>
      <c r="C69" s="39" t="s">
        <v>1431</v>
      </c>
      <c r="D69" s="39">
        <v>1.0</v>
      </c>
      <c r="E69" s="39">
        <v>2.650906688E9</v>
      </c>
      <c r="F69" s="39" t="s">
        <v>1204</v>
      </c>
      <c r="G69" s="39" t="s">
        <v>1432</v>
      </c>
      <c r="H69" s="39" t="s">
        <v>1433</v>
      </c>
      <c r="I69" s="40">
        <v>45971.0</v>
      </c>
      <c r="J69" s="40">
        <v>45971.0</v>
      </c>
      <c r="K69" s="40">
        <v>45972.0</v>
      </c>
      <c r="L69" s="41">
        <v>45980.0</v>
      </c>
      <c r="M69" s="41">
        <v>45980.0</v>
      </c>
      <c r="N69" s="41">
        <v>45982.0</v>
      </c>
      <c r="O69" s="39">
        <v>6.363337566E9</v>
      </c>
      <c r="P69" s="39" t="s">
        <v>1301</v>
      </c>
      <c r="Q69" s="39" t="s">
        <v>1219</v>
      </c>
      <c r="R69" s="39">
        <v>1.0</v>
      </c>
      <c r="S69" s="39">
        <v>35553.0</v>
      </c>
      <c r="T69" s="39">
        <v>48000.0</v>
      </c>
      <c r="U69" s="39">
        <v>0.0</v>
      </c>
      <c r="V69" s="39">
        <v>12447.0</v>
      </c>
      <c r="W69" s="39">
        <v>0.0</v>
      </c>
      <c r="X69" s="39">
        <v>48000.0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0.0</v>
      </c>
      <c r="AL69" s="39">
        <v>4.60797828422E11</v>
      </c>
      <c r="AM69" s="39" t="s">
        <v>1209</v>
      </c>
      <c r="AN69" s="42">
        <v>0.09</v>
      </c>
      <c r="AO69" s="43">
        <v>1192.0</v>
      </c>
      <c r="AP69" s="39">
        <v>0.0</v>
      </c>
      <c r="AQ69" s="39">
        <v>0.0</v>
      </c>
      <c r="AR69" s="39">
        <v>0.0</v>
      </c>
      <c r="AS69" s="39">
        <v>8890.0</v>
      </c>
      <c r="AT69" s="39">
        <v>4980.0</v>
      </c>
      <c r="AU69" s="39">
        <v>3910.0</v>
      </c>
      <c r="AV69" s="39">
        <v>0.0</v>
      </c>
      <c r="AW69" s="39">
        <v>0.0</v>
      </c>
      <c r="AX69" s="39">
        <v>0.0</v>
      </c>
      <c r="AY69" s="39">
        <v>0.0</v>
      </c>
      <c r="AZ69" s="39">
        <v>0.0</v>
      </c>
      <c r="BA69" s="39">
        <v>0.0</v>
      </c>
      <c r="BB69" s="39">
        <v>0.0</v>
      </c>
      <c r="BC69" s="39">
        <v>2365.0</v>
      </c>
      <c r="BD69" s="39">
        <v>0.0</v>
      </c>
      <c r="BE69" s="39">
        <v>0.0</v>
      </c>
      <c r="BF69" s="39">
        <v>0.0</v>
      </c>
      <c r="BG69" s="39">
        <v>0.0</v>
      </c>
      <c r="BH69" s="39">
        <v>0.0</v>
      </c>
      <c r="BI69" s="44"/>
    </row>
    <row r="70">
      <c r="A70" s="38">
        <f t="shared" si="1"/>
        <v>45971</v>
      </c>
      <c r="B70" s="39">
        <v>69.0</v>
      </c>
      <c r="C70" s="39" t="s">
        <v>1434</v>
      </c>
      <c r="D70" s="39">
        <v>1.0</v>
      </c>
      <c r="E70" s="39">
        <v>2.650909903E9</v>
      </c>
      <c r="F70" s="39" t="s">
        <v>1204</v>
      </c>
      <c r="G70" s="39" t="s">
        <v>1435</v>
      </c>
      <c r="H70" s="39" t="s">
        <v>1436</v>
      </c>
      <c r="I70" s="40">
        <v>45971.0</v>
      </c>
      <c r="J70" s="40">
        <v>45971.0</v>
      </c>
      <c r="K70" s="40">
        <v>45972.0</v>
      </c>
      <c r="L70" s="41">
        <v>45980.0</v>
      </c>
      <c r="M70" s="41">
        <v>45980.0</v>
      </c>
      <c r="N70" s="41">
        <v>45982.0</v>
      </c>
      <c r="O70" s="39">
        <v>6.342749718E9</v>
      </c>
      <c r="P70" s="39" t="s">
        <v>1213</v>
      </c>
      <c r="Q70" s="39" t="s">
        <v>1291</v>
      </c>
      <c r="R70" s="39">
        <v>2.0</v>
      </c>
      <c r="S70" s="39">
        <v>43182.0</v>
      </c>
      <c r="T70" s="39">
        <v>118000.0</v>
      </c>
      <c r="U70" s="39">
        <v>0.0</v>
      </c>
      <c r="V70" s="39">
        <v>74818.0</v>
      </c>
      <c r="W70" s="39">
        <v>43182.0</v>
      </c>
      <c r="X70" s="39">
        <v>118000.0</v>
      </c>
      <c r="Y70" s="39">
        <v>0.0</v>
      </c>
      <c r="Z70" s="39">
        <v>0.0</v>
      </c>
      <c r="AA70" s="39">
        <v>0.0</v>
      </c>
      <c r="AB70" s="39">
        <v>0.0</v>
      </c>
      <c r="AC70" s="39">
        <v>0.0</v>
      </c>
      <c r="AD70" s="39">
        <v>0.0</v>
      </c>
      <c r="AE70" s="39">
        <v>0.0</v>
      </c>
      <c r="AF70" s="39">
        <v>0.0</v>
      </c>
      <c r="AG70" s="39">
        <v>0.0</v>
      </c>
      <c r="AH70" s="39">
        <v>0.0</v>
      </c>
      <c r="AI70" s="39">
        <v>0.0</v>
      </c>
      <c r="AJ70" s="39">
        <v>0.0</v>
      </c>
      <c r="AK70" s="39">
        <v>0.0</v>
      </c>
      <c r="AL70" s="39">
        <v>4.60797828433E11</v>
      </c>
      <c r="AM70" s="39" t="s">
        <v>1209</v>
      </c>
      <c r="AN70" s="42">
        <v>0.09</v>
      </c>
      <c r="AO70" s="43">
        <v>4876.0</v>
      </c>
      <c r="AP70" s="39">
        <v>0.0</v>
      </c>
      <c r="AQ70" s="39">
        <v>0.0</v>
      </c>
      <c r="AR70" s="39">
        <v>0.0</v>
      </c>
      <c r="AS70" s="39">
        <v>61660.0</v>
      </c>
      <c r="AT70" s="39">
        <v>54480.0</v>
      </c>
      <c r="AU70" s="39">
        <v>7180.0</v>
      </c>
      <c r="AV70" s="39">
        <v>0.0</v>
      </c>
      <c r="AW70" s="39">
        <v>4000.0</v>
      </c>
      <c r="AX70" s="39">
        <v>0.0</v>
      </c>
      <c r="AY70" s="39">
        <v>0.0</v>
      </c>
      <c r="AZ70" s="39">
        <v>0.0</v>
      </c>
      <c r="BA70" s="39">
        <v>0.0</v>
      </c>
      <c r="BB70" s="39">
        <v>0.0</v>
      </c>
      <c r="BC70" s="39">
        <v>4282.0</v>
      </c>
      <c r="BD70" s="39">
        <v>0.0</v>
      </c>
      <c r="BE70" s="39">
        <v>0.0</v>
      </c>
      <c r="BF70" s="39">
        <v>0.0</v>
      </c>
      <c r="BG70" s="39">
        <v>0.0</v>
      </c>
      <c r="BH70" s="39">
        <v>0.0</v>
      </c>
      <c r="BI70" s="44"/>
    </row>
    <row r="71">
      <c r="A71" s="38">
        <f t="shared" si="1"/>
        <v>45971</v>
      </c>
      <c r="B71" s="39">
        <v>70.0</v>
      </c>
      <c r="C71" s="39" t="s">
        <v>1437</v>
      </c>
      <c r="D71" s="39">
        <v>1.0</v>
      </c>
      <c r="E71" s="39">
        <v>2.650961065E9</v>
      </c>
      <c r="F71" s="39" t="s">
        <v>1204</v>
      </c>
      <c r="G71" s="39" t="s">
        <v>1438</v>
      </c>
      <c r="H71" s="39" t="s">
        <v>1439</v>
      </c>
      <c r="I71" s="40">
        <v>45971.0</v>
      </c>
      <c r="J71" s="40">
        <v>45972.0</v>
      </c>
      <c r="K71" s="40">
        <v>45973.0</v>
      </c>
      <c r="L71" s="41">
        <v>45981.0</v>
      </c>
      <c r="M71" s="41">
        <v>45981.0</v>
      </c>
      <c r="N71" s="41">
        <v>45985.0</v>
      </c>
      <c r="O71" s="39">
        <v>6.342749718E9</v>
      </c>
      <c r="P71" s="39" t="s">
        <v>1213</v>
      </c>
      <c r="Q71" s="39" t="s">
        <v>1291</v>
      </c>
      <c r="R71" s="39">
        <v>2.0</v>
      </c>
      <c r="S71" s="39">
        <v>43588.0</v>
      </c>
      <c r="T71" s="39">
        <v>118000.0</v>
      </c>
      <c r="U71" s="39">
        <v>0.0</v>
      </c>
      <c r="V71" s="39">
        <v>74412.0</v>
      </c>
      <c r="W71" s="39">
        <v>43588.0</v>
      </c>
      <c r="X71" s="39">
        <v>118000.0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4.60803810563E11</v>
      </c>
      <c r="AM71" s="39" t="s">
        <v>1209</v>
      </c>
      <c r="AN71" s="42">
        <v>0.09</v>
      </c>
      <c r="AO71" s="43">
        <v>3276.0</v>
      </c>
      <c r="AP71" s="39">
        <v>0.0</v>
      </c>
      <c r="AQ71" s="39">
        <v>0.0</v>
      </c>
      <c r="AR71" s="39">
        <v>0.0</v>
      </c>
      <c r="AS71" s="39">
        <v>63660.0</v>
      </c>
      <c r="AT71" s="39">
        <v>54480.0</v>
      </c>
      <c r="AU71" s="39">
        <v>9180.0</v>
      </c>
      <c r="AV71" s="39">
        <v>0.0</v>
      </c>
      <c r="AW71" s="39">
        <v>4000.0</v>
      </c>
      <c r="AX71" s="39">
        <v>0.0</v>
      </c>
      <c r="AY71" s="39">
        <v>0.0</v>
      </c>
      <c r="AZ71" s="39">
        <v>0.0</v>
      </c>
      <c r="BA71" s="39">
        <v>0.0</v>
      </c>
      <c r="BB71" s="39">
        <v>0.0</v>
      </c>
      <c r="BC71" s="39">
        <v>3476.0</v>
      </c>
      <c r="BD71" s="39">
        <v>0.0</v>
      </c>
      <c r="BE71" s="39">
        <v>0.0</v>
      </c>
      <c r="BF71" s="39">
        <v>0.0</v>
      </c>
      <c r="BG71" s="39">
        <v>0.0</v>
      </c>
      <c r="BH71" s="39">
        <v>0.0</v>
      </c>
      <c r="BI71" s="44"/>
    </row>
    <row r="72">
      <c r="A72" s="38">
        <f t="shared" si="1"/>
        <v>45971</v>
      </c>
      <c r="B72" s="39">
        <v>71.0</v>
      </c>
      <c r="C72" s="39">
        <v>2.02511100128187E16</v>
      </c>
      <c r="D72" s="39">
        <v>1.0</v>
      </c>
      <c r="E72" s="39">
        <v>2.651028325E9</v>
      </c>
      <c r="F72" s="39" t="s">
        <v>1204</v>
      </c>
      <c r="G72" s="39" t="s">
        <v>1440</v>
      </c>
      <c r="H72" s="39" t="s">
        <v>1441</v>
      </c>
      <c r="I72" s="40">
        <v>45971.0</v>
      </c>
      <c r="J72" s="40">
        <v>45972.0</v>
      </c>
      <c r="K72" s="40">
        <v>45973.0</v>
      </c>
      <c r="L72" s="41">
        <v>45978.0</v>
      </c>
      <c r="M72" s="41">
        <v>45978.0</v>
      </c>
      <c r="N72" s="41">
        <v>45980.0</v>
      </c>
      <c r="O72" s="39">
        <v>7.29772671E9</v>
      </c>
      <c r="P72" s="39" t="s">
        <v>1325</v>
      </c>
      <c r="Q72" s="39" t="s">
        <v>1442</v>
      </c>
      <c r="R72" s="39">
        <v>0.0</v>
      </c>
      <c r="S72" s="39">
        <v>3385.0</v>
      </c>
      <c r="T72" s="39">
        <v>3500.0</v>
      </c>
      <c r="U72" s="39">
        <v>0.0</v>
      </c>
      <c r="V72" s="39">
        <v>115.0</v>
      </c>
      <c r="W72" s="39">
        <v>0.0</v>
      </c>
      <c r="X72" s="39">
        <v>0.0</v>
      </c>
      <c r="Y72" s="39">
        <v>0.0</v>
      </c>
      <c r="Z72" s="39">
        <v>3500.0</v>
      </c>
      <c r="AA72" s="39">
        <v>0.0</v>
      </c>
      <c r="AB72" s="39">
        <v>0.0</v>
      </c>
      <c r="AC72" s="39">
        <v>0.0</v>
      </c>
      <c r="AD72" s="39">
        <v>0.0</v>
      </c>
      <c r="AE72" s="39">
        <v>0.0</v>
      </c>
      <c r="AF72" s="39">
        <v>0.0</v>
      </c>
      <c r="AG72" s="39">
        <v>0.0</v>
      </c>
      <c r="AH72" s="39">
        <v>0.0</v>
      </c>
      <c r="AI72" s="39">
        <v>0.0</v>
      </c>
      <c r="AJ72" s="39">
        <v>0.0</v>
      </c>
      <c r="AK72" s="39">
        <v>0.0</v>
      </c>
      <c r="AL72" s="39">
        <v>4.60803810574E11</v>
      </c>
      <c r="AM72" s="39" t="s">
        <v>1209</v>
      </c>
      <c r="AN72" s="42">
        <v>0.0</v>
      </c>
      <c r="AO72" s="43">
        <v>0.0</v>
      </c>
      <c r="AP72" s="39">
        <v>0.0</v>
      </c>
      <c r="AQ72" s="39">
        <v>115.0</v>
      </c>
      <c r="AR72" s="39">
        <v>0.0</v>
      </c>
      <c r="AS72" s="39">
        <v>0.0</v>
      </c>
      <c r="AT72" s="39">
        <v>0.0</v>
      </c>
      <c r="AU72" s="39">
        <v>0.0</v>
      </c>
      <c r="AV72" s="39">
        <v>0.0</v>
      </c>
      <c r="AW72" s="39">
        <v>0.0</v>
      </c>
      <c r="AX72" s="39">
        <v>0.0</v>
      </c>
      <c r="AY72" s="39">
        <v>0.0</v>
      </c>
      <c r="AZ72" s="39">
        <v>0.0</v>
      </c>
      <c r="BA72" s="39">
        <v>0.0</v>
      </c>
      <c r="BB72" s="39">
        <v>0.0</v>
      </c>
      <c r="BC72" s="39">
        <v>0.0</v>
      </c>
      <c r="BD72" s="39">
        <v>0.0</v>
      </c>
      <c r="BE72" s="39">
        <v>0.0</v>
      </c>
      <c r="BF72" s="39">
        <v>0.0</v>
      </c>
      <c r="BG72" s="39">
        <v>0.0</v>
      </c>
      <c r="BH72" s="39">
        <v>0.0</v>
      </c>
      <c r="BI72" s="44"/>
    </row>
    <row r="73">
      <c r="A73" s="38">
        <f t="shared" si="1"/>
        <v>45971</v>
      </c>
      <c r="B73" s="39">
        <v>72.0</v>
      </c>
      <c r="C73" s="39">
        <v>2.02511100128187E16</v>
      </c>
      <c r="D73" s="39">
        <v>1.0</v>
      </c>
      <c r="E73" s="39">
        <v>2.651028325E9</v>
      </c>
      <c r="F73" s="39" t="s">
        <v>1204</v>
      </c>
      <c r="G73" s="39" t="s">
        <v>1440</v>
      </c>
      <c r="H73" s="39" t="s">
        <v>1441</v>
      </c>
      <c r="I73" s="40">
        <v>45971.0</v>
      </c>
      <c r="J73" s="40">
        <v>45972.0</v>
      </c>
      <c r="K73" s="40">
        <v>45973.0</v>
      </c>
      <c r="L73" s="41">
        <v>45978.0</v>
      </c>
      <c r="M73" s="41">
        <v>45978.0</v>
      </c>
      <c r="N73" s="41">
        <v>45980.0</v>
      </c>
      <c r="O73" s="39">
        <v>7.29772671E9</v>
      </c>
      <c r="P73" s="39" t="s">
        <v>1325</v>
      </c>
      <c r="Q73" s="39" t="s">
        <v>1442</v>
      </c>
      <c r="R73" s="39">
        <v>1.0</v>
      </c>
      <c r="S73" s="39">
        <v>8803.0</v>
      </c>
      <c r="T73" s="39">
        <v>19900.0</v>
      </c>
      <c r="U73" s="39">
        <v>0.0</v>
      </c>
      <c r="V73" s="39">
        <v>11097.0</v>
      </c>
      <c r="W73" s="39">
        <v>12188.0</v>
      </c>
      <c r="X73" s="39">
        <v>19900.0</v>
      </c>
      <c r="Y73" s="39">
        <v>0.0</v>
      </c>
      <c r="Z73" s="39">
        <v>0.0</v>
      </c>
      <c r="AA73" s="39">
        <v>0.0</v>
      </c>
      <c r="AB73" s="39">
        <v>0.0</v>
      </c>
      <c r="AC73" s="39">
        <v>0.0</v>
      </c>
      <c r="AD73" s="39">
        <v>0.0</v>
      </c>
      <c r="AE73" s="39">
        <v>0.0</v>
      </c>
      <c r="AF73" s="39">
        <v>0.0</v>
      </c>
      <c r="AG73" s="39">
        <v>0.0</v>
      </c>
      <c r="AH73" s="39">
        <v>0.0</v>
      </c>
      <c r="AI73" s="39">
        <v>0.0</v>
      </c>
      <c r="AJ73" s="39">
        <v>0.0</v>
      </c>
      <c r="AK73" s="39">
        <v>0.0</v>
      </c>
      <c r="AL73" s="39">
        <v>4.60803810574E11</v>
      </c>
      <c r="AM73" s="39" t="s">
        <v>1209</v>
      </c>
      <c r="AN73" s="42">
        <v>0.09</v>
      </c>
      <c r="AO73" s="43">
        <v>1183.0</v>
      </c>
      <c r="AP73" s="39">
        <v>0.0</v>
      </c>
      <c r="AQ73" s="39">
        <v>0.0</v>
      </c>
      <c r="AR73" s="39">
        <v>0.0</v>
      </c>
      <c r="AS73" s="39">
        <v>9100.0</v>
      </c>
      <c r="AT73" s="39">
        <v>8340.0</v>
      </c>
      <c r="AU73" s="39">
        <v>760.0</v>
      </c>
      <c r="AV73" s="39">
        <v>0.0</v>
      </c>
      <c r="AW73" s="39">
        <v>0.0</v>
      </c>
      <c r="AX73" s="39">
        <v>0.0</v>
      </c>
      <c r="AY73" s="39">
        <v>0.0</v>
      </c>
      <c r="AZ73" s="39">
        <v>0.0</v>
      </c>
      <c r="BA73" s="39">
        <v>0.0</v>
      </c>
      <c r="BB73" s="39">
        <v>0.0</v>
      </c>
      <c r="BC73" s="39">
        <v>814.0</v>
      </c>
      <c r="BD73" s="39">
        <v>0.0</v>
      </c>
      <c r="BE73" s="39">
        <v>0.0</v>
      </c>
      <c r="BF73" s="39">
        <v>0.0</v>
      </c>
      <c r="BG73" s="39">
        <v>0.0</v>
      </c>
      <c r="BH73" s="39">
        <v>0.0</v>
      </c>
      <c r="BI73" s="44"/>
    </row>
    <row r="74">
      <c r="A74" s="38">
        <f t="shared" si="1"/>
        <v>45971</v>
      </c>
      <c r="B74" s="39">
        <v>73.0</v>
      </c>
      <c r="C74" s="39">
        <v>2.02511100128187E16</v>
      </c>
      <c r="D74" s="39">
        <v>2.0</v>
      </c>
      <c r="E74" s="39">
        <v>2.651028325E9</v>
      </c>
      <c r="F74" s="39" t="s">
        <v>1204</v>
      </c>
      <c r="G74" s="39" t="s">
        <v>1440</v>
      </c>
      <c r="H74" s="39" t="s">
        <v>1441</v>
      </c>
      <c r="I74" s="40">
        <v>45971.0</v>
      </c>
      <c r="J74" s="40">
        <v>45972.0</v>
      </c>
      <c r="K74" s="40">
        <v>45973.0</v>
      </c>
      <c r="L74" s="41">
        <v>45978.0</v>
      </c>
      <c r="M74" s="41">
        <v>45978.0</v>
      </c>
      <c r="N74" s="41">
        <v>45980.0</v>
      </c>
      <c r="O74" s="39">
        <v>7.615270742E9</v>
      </c>
      <c r="P74" s="39" t="s">
        <v>1443</v>
      </c>
      <c r="Q74" s="39" t="s">
        <v>1219</v>
      </c>
      <c r="R74" s="39">
        <v>1.0</v>
      </c>
      <c r="S74" s="39">
        <v>8099.0</v>
      </c>
      <c r="T74" s="39">
        <v>8900.0</v>
      </c>
      <c r="U74" s="39">
        <v>0.0</v>
      </c>
      <c r="V74" s="39">
        <v>801.0</v>
      </c>
      <c r="W74" s="39">
        <v>8099.0</v>
      </c>
      <c r="X74" s="39">
        <v>8900.0</v>
      </c>
      <c r="Y74" s="39">
        <v>0.0</v>
      </c>
      <c r="Z74" s="39">
        <v>0.0</v>
      </c>
      <c r="AA74" s="39">
        <v>0.0</v>
      </c>
      <c r="AB74" s="39">
        <v>0.0</v>
      </c>
      <c r="AC74" s="39">
        <v>0.0</v>
      </c>
      <c r="AD74" s="39">
        <v>0.0</v>
      </c>
      <c r="AE74" s="39">
        <v>0.0</v>
      </c>
      <c r="AF74" s="39">
        <v>0.0</v>
      </c>
      <c r="AG74" s="39">
        <v>0.0</v>
      </c>
      <c r="AH74" s="39">
        <v>0.0</v>
      </c>
      <c r="AI74" s="39">
        <v>0.0</v>
      </c>
      <c r="AJ74" s="39">
        <v>0.0</v>
      </c>
      <c r="AK74" s="39">
        <v>0.0</v>
      </c>
      <c r="AL74" s="39">
        <v>4.60803810574E11</v>
      </c>
      <c r="AM74" s="39" t="s">
        <v>1209</v>
      </c>
      <c r="AN74" s="42">
        <v>0.09</v>
      </c>
      <c r="AO74" s="43">
        <v>801.0</v>
      </c>
      <c r="AP74" s="39">
        <v>0.0</v>
      </c>
      <c r="AQ74" s="39">
        <v>0.0</v>
      </c>
      <c r="AR74" s="39">
        <v>0.0</v>
      </c>
      <c r="AS74" s="39">
        <v>0.0</v>
      </c>
      <c r="AT74" s="39">
        <v>0.0</v>
      </c>
      <c r="AU74" s="39">
        <v>0.0</v>
      </c>
      <c r="AV74" s="39">
        <v>0.0</v>
      </c>
      <c r="AW74" s="39">
        <v>0.0</v>
      </c>
      <c r="AX74" s="39">
        <v>0.0</v>
      </c>
      <c r="AY74" s="39">
        <v>0.0</v>
      </c>
      <c r="AZ74" s="39">
        <v>0.0</v>
      </c>
      <c r="BA74" s="39">
        <v>0.0</v>
      </c>
      <c r="BB74" s="39">
        <v>0.0</v>
      </c>
      <c r="BC74" s="39">
        <v>0.0</v>
      </c>
      <c r="BD74" s="39">
        <v>0.0</v>
      </c>
      <c r="BE74" s="39">
        <v>0.0</v>
      </c>
      <c r="BF74" s="39">
        <v>0.0</v>
      </c>
      <c r="BG74" s="39">
        <v>0.0</v>
      </c>
      <c r="BH74" s="39">
        <v>0.0</v>
      </c>
      <c r="BI74" s="44"/>
    </row>
    <row r="75">
      <c r="A75" s="38">
        <f t="shared" si="1"/>
        <v>45972</v>
      </c>
      <c r="B75" s="39">
        <v>74.0</v>
      </c>
      <c r="C75" s="39" t="s">
        <v>1444</v>
      </c>
      <c r="D75" s="39">
        <v>1.0</v>
      </c>
      <c r="E75" s="39">
        <v>2.65117256E9</v>
      </c>
      <c r="F75" s="39" t="s">
        <v>1204</v>
      </c>
      <c r="G75" s="39" t="s">
        <v>1445</v>
      </c>
      <c r="H75" s="39" t="s">
        <v>1446</v>
      </c>
      <c r="I75" s="40">
        <v>45972.0</v>
      </c>
      <c r="J75" s="40">
        <v>45972.0</v>
      </c>
      <c r="K75" s="40">
        <v>45973.0</v>
      </c>
      <c r="L75" s="41">
        <v>45973.0</v>
      </c>
      <c r="M75" s="41">
        <v>45973.0</v>
      </c>
      <c r="N75" s="41">
        <v>45975.0</v>
      </c>
      <c r="O75" s="39">
        <v>8.218763311E9</v>
      </c>
      <c r="P75" s="39" t="s">
        <v>1207</v>
      </c>
      <c r="Q75" s="39" t="s">
        <v>1447</v>
      </c>
      <c r="R75" s="39">
        <v>1.0</v>
      </c>
      <c r="S75" s="39">
        <v>20948.0</v>
      </c>
      <c r="T75" s="39">
        <v>29000.0</v>
      </c>
      <c r="U75" s="39">
        <v>0.0</v>
      </c>
      <c r="V75" s="39">
        <v>8052.0</v>
      </c>
      <c r="W75" s="39">
        <v>20948.0</v>
      </c>
      <c r="X75" s="39">
        <v>29000.0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4.60803810596E11</v>
      </c>
      <c r="AM75" s="39" t="s">
        <v>1209</v>
      </c>
      <c r="AN75" s="42">
        <v>0.09</v>
      </c>
      <c r="AO75" s="43">
        <v>0.0</v>
      </c>
      <c r="AP75" s="39">
        <v>0.0</v>
      </c>
      <c r="AQ75" s="39">
        <v>0.0</v>
      </c>
      <c r="AR75" s="39">
        <v>0.0</v>
      </c>
      <c r="AS75" s="39">
        <v>7832.0</v>
      </c>
      <c r="AT75" s="39">
        <v>4700.0</v>
      </c>
      <c r="AU75" s="39">
        <v>3132.0</v>
      </c>
      <c r="AV75" s="39">
        <v>598.0</v>
      </c>
      <c r="AW75" s="39">
        <v>0.0</v>
      </c>
      <c r="AX75" s="39">
        <v>0.0</v>
      </c>
      <c r="AY75" s="39">
        <v>0.0</v>
      </c>
      <c r="AZ75" s="39">
        <v>0.0</v>
      </c>
      <c r="BA75" s="39">
        <v>0.0</v>
      </c>
      <c r="BB75" s="39">
        <v>0.0</v>
      </c>
      <c r="BC75" s="39">
        <v>220.0</v>
      </c>
      <c r="BD75" s="39">
        <v>0.0</v>
      </c>
      <c r="BE75" s="39">
        <v>0.0</v>
      </c>
      <c r="BF75" s="39">
        <v>0.0</v>
      </c>
      <c r="BG75" s="39">
        <v>0.0</v>
      </c>
      <c r="BH75" s="39">
        <v>0.0</v>
      </c>
      <c r="BI75" s="44"/>
    </row>
    <row r="76">
      <c r="A76" s="38">
        <f t="shared" si="1"/>
        <v>45972</v>
      </c>
      <c r="B76" s="39">
        <v>75.0</v>
      </c>
      <c r="C76" s="39" t="s">
        <v>1448</v>
      </c>
      <c r="D76" s="39">
        <v>1.0</v>
      </c>
      <c r="E76" s="39">
        <v>2.651253458E9</v>
      </c>
      <c r="F76" s="39" t="s">
        <v>1204</v>
      </c>
      <c r="G76" s="39" t="s">
        <v>1449</v>
      </c>
      <c r="H76" s="39" t="s">
        <v>1450</v>
      </c>
      <c r="I76" s="40">
        <v>45972.0</v>
      </c>
      <c r="J76" s="40">
        <v>45972.0</v>
      </c>
      <c r="K76" s="40">
        <v>45973.0</v>
      </c>
      <c r="L76" s="41">
        <v>45981.0</v>
      </c>
      <c r="M76" s="41">
        <v>45981.0</v>
      </c>
      <c r="N76" s="41">
        <v>45985.0</v>
      </c>
      <c r="O76" s="39">
        <v>6.342749718E9</v>
      </c>
      <c r="P76" s="39" t="s">
        <v>1213</v>
      </c>
      <c r="Q76" s="39" t="s">
        <v>1251</v>
      </c>
      <c r="R76" s="39">
        <v>1.0</v>
      </c>
      <c r="S76" s="39">
        <v>25522.0</v>
      </c>
      <c r="T76" s="39">
        <v>59000.0</v>
      </c>
      <c r="U76" s="39">
        <v>0.0</v>
      </c>
      <c r="V76" s="39">
        <v>33478.0</v>
      </c>
      <c r="W76" s="39">
        <v>25522.0</v>
      </c>
      <c r="X76" s="39">
        <v>59000.0</v>
      </c>
      <c r="Y76" s="39">
        <v>0.0</v>
      </c>
      <c r="Z76" s="39">
        <v>0.0</v>
      </c>
      <c r="AA76" s="39">
        <v>0.0</v>
      </c>
      <c r="AB76" s="39">
        <v>0.0</v>
      </c>
      <c r="AC76" s="39">
        <v>0.0</v>
      </c>
      <c r="AD76" s="39">
        <v>0.0</v>
      </c>
      <c r="AE76" s="39">
        <v>0.0</v>
      </c>
      <c r="AF76" s="39">
        <v>0.0</v>
      </c>
      <c r="AG76" s="39">
        <v>0.0</v>
      </c>
      <c r="AH76" s="39">
        <v>0.0</v>
      </c>
      <c r="AI76" s="39">
        <v>0.0</v>
      </c>
      <c r="AJ76" s="39">
        <v>0.0</v>
      </c>
      <c r="AK76" s="39">
        <v>0.0</v>
      </c>
      <c r="AL76" s="39">
        <v>4.608038106E11</v>
      </c>
      <c r="AM76" s="39" t="s">
        <v>1209</v>
      </c>
      <c r="AN76" s="42">
        <v>0.09</v>
      </c>
      <c r="AO76" s="43">
        <v>2038.0</v>
      </c>
      <c r="AP76" s="39">
        <v>0.0</v>
      </c>
      <c r="AQ76" s="39">
        <v>0.0</v>
      </c>
      <c r="AR76" s="39">
        <v>0.0</v>
      </c>
      <c r="AS76" s="39">
        <v>31330.0</v>
      </c>
      <c r="AT76" s="39">
        <v>27240.0</v>
      </c>
      <c r="AU76" s="39">
        <v>4090.0</v>
      </c>
      <c r="AV76" s="39">
        <v>0.0</v>
      </c>
      <c r="AW76" s="39">
        <v>0.0</v>
      </c>
      <c r="AX76" s="39">
        <v>0.0</v>
      </c>
      <c r="AY76" s="39">
        <v>0.0</v>
      </c>
      <c r="AZ76" s="39">
        <v>0.0</v>
      </c>
      <c r="BA76" s="39">
        <v>0.0</v>
      </c>
      <c r="BB76" s="39">
        <v>0.0</v>
      </c>
      <c r="BC76" s="39">
        <v>110.0</v>
      </c>
      <c r="BD76" s="39">
        <v>0.0</v>
      </c>
      <c r="BE76" s="39">
        <v>0.0</v>
      </c>
      <c r="BF76" s="39">
        <v>0.0</v>
      </c>
      <c r="BG76" s="39">
        <v>0.0</v>
      </c>
      <c r="BH76" s="39">
        <v>0.0</v>
      </c>
      <c r="BI76" s="44"/>
    </row>
    <row r="77">
      <c r="A77" s="38">
        <f t="shared" si="1"/>
        <v>45972</v>
      </c>
      <c r="B77" s="39">
        <v>76.0</v>
      </c>
      <c r="C77" s="39" t="s">
        <v>1451</v>
      </c>
      <c r="D77" s="39">
        <v>1.0</v>
      </c>
      <c r="E77" s="39">
        <v>2.651268337E9</v>
      </c>
      <c r="F77" s="39" t="s">
        <v>1204</v>
      </c>
      <c r="G77" s="39" t="s">
        <v>1452</v>
      </c>
      <c r="H77" s="39" t="s">
        <v>1453</v>
      </c>
      <c r="I77" s="40">
        <v>45972.0</v>
      </c>
      <c r="J77" s="40">
        <v>45972.0</v>
      </c>
      <c r="K77" s="40">
        <v>45973.0</v>
      </c>
      <c r="L77" s="41">
        <v>45981.0</v>
      </c>
      <c r="M77" s="41">
        <v>45981.0</v>
      </c>
      <c r="N77" s="41">
        <v>45985.0</v>
      </c>
      <c r="O77" s="39">
        <v>6.546161396E9</v>
      </c>
      <c r="P77" s="39" t="s">
        <v>1231</v>
      </c>
      <c r="Q77" s="39" t="s">
        <v>1236</v>
      </c>
      <c r="R77" s="39">
        <v>1.0</v>
      </c>
      <c r="S77" s="39">
        <v>13764.0</v>
      </c>
      <c r="T77" s="39">
        <v>18000.0</v>
      </c>
      <c r="U77" s="39">
        <v>0.0</v>
      </c>
      <c r="V77" s="39">
        <v>4236.0</v>
      </c>
      <c r="W77" s="39">
        <v>13764.0</v>
      </c>
      <c r="X77" s="39">
        <v>18000.0</v>
      </c>
      <c r="Y77" s="39">
        <v>0.0</v>
      </c>
      <c r="Z77" s="39">
        <v>0.0</v>
      </c>
      <c r="AA77" s="39">
        <v>0.0</v>
      </c>
      <c r="AB77" s="39">
        <v>0.0</v>
      </c>
      <c r="AC77" s="39">
        <v>0.0</v>
      </c>
      <c r="AD77" s="39">
        <v>0.0</v>
      </c>
      <c r="AE77" s="39">
        <v>0.0</v>
      </c>
      <c r="AF77" s="39">
        <v>0.0</v>
      </c>
      <c r="AG77" s="39">
        <v>0.0</v>
      </c>
      <c r="AH77" s="39">
        <v>0.0</v>
      </c>
      <c r="AI77" s="39">
        <v>0.0</v>
      </c>
      <c r="AJ77" s="39">
        <v>0.0</v>
      </c>
      <c r="AK77" s="39">
        <v>0.0</v>
      </c>
      <c r="AL77" s="39">
        <v>4.60803810611E11</v>
      </c>
      <c r="AM77" s="39" t="s">
        <v>1209</v>
      </c>
      <c r="AN77" s="42">
        <v>0.11</v>
      </c>
      <c r="AO77" s="43">
        <v>1124.0</v>
      </c>
      <c r="AP77" s="39">
        <v>0.0</v>
      </c>
      <c r="AQ77" s="39">
        <v>0.0</v>
      </c>
      <c r="AR77" s="39">
        <v>0.0</v>
      </c>
      <c r="AS77" s="39">
        <v>2780.0</v>
      </c>
      <c r="AT77" s="39">
        <v>1710.0</v>
      </c>
      <c r="AU77" s="39">
        <v>1070.0</v>
      </c>
      <c r="AV77" s="39">
        <v>0.0</v>
      </c>
      <c r="AW77" s="39">
        <v>0.0</v>
      </c>
      <c r="AX77" s="39">
        <v>0.0</v>
      </c>
      <c r="AY77" s="39">
        <v>0.0</v>
      </c>
      <c r="AZ77" s="39">
        <v>0.0</v>
      </c>
      <c r="BA77" s="39">
        <v>0.0</v>
      </c>
      <c r="BB77" s="39">
        <v>0.0</v>
      </c>
      <c r="BC77" s="39">
        <v>332.0</v>
      </c>
      <c r="BD77" s="39">
        <v>0.0</v>
      </c>
      <c r="BE77" s="39">
        <v>0.0</v>
      </c>
      <c r="BF77" s="39">
        <v>0.0</v>
      </c>
      <c r="BG77" s="39">
        <v>0.0</v>
      </c>
      <c r="BH77" s="39">
        <v>0.0</v>
      </c>
      <c r="BI77" s="44"/>
    </row>
    <row r="78">
      <c r="A78" s="38">
        <f t="shared" si="1"/>
        <v>45972</v>
      </c>
      <c r="B78" s="39">
        <v>77.0</v>
      </c>
      <c r="C78" s="39" t="s">
        <v>1454</v>
      </c>
      <c r="D78" s="39">
        <v>1.0</v>
      </c>
      <c r="E78" s="39">
        <v>2.651334256E9</v>
      </c>
      <c r="F78" s="39" t="s">
        <v>1204</v>
      </c>
      <c r="G78" s="39" t="s">
        <v>1455</v>
      </c>
      <c r="H78" s="39" t="s">
        <v>1456</v>
      </c>
      <c r="I78" s="40">
        <v>45972.0</v>
      </c>
      <c r="J78" s="40">
        <v>45972.0</v>
      </c>
      <c r="K78" s="40">
        <v>45973.0</v>
      </c>
      <c r="L78" s="41">
        <v>45981.0</v>
      </c>
      <c r="M78" s="41">
        <v>45981.0</v>
      </c>
      <c r="N78" s="41">
        <v>45985.0</v>
      </c>
      <c r="O78" s="39">
        <v>7.996735307E9</v>
      </c>
      <c r="P78" s="39" t="s">
        <v>1416</v>
      </c>
      <c r="Q78" s="39" t="s">
        <v>1208</v>
      </c>
      <c r="R78" s="39">
        <v>1.0</v>
      </c>
      <c r="S78" s="39">
        <v>12062.0</v>
      </c>
      <c r="T78" s="39">
        <v>15000.0</v>
      </c>
      <c r="U78" s="39">
        <v>0.0</v>
      </c>
      <c r="V78" s="39">
        <v>2938.0</v>
      </c>
      <c r="W78" s="39">
        <v>12062.0</v>
      </c>
      <c r="X78" s="39">
        <v>15000.0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0.0</v>
      </c>
      <c r="AF78" s="39">
        <v>0.0</v>
      </c>
      <c r="AG78" s="39">
        <v>0.0</v>
      </c>
      <c r="AH78" s="39">
        <v>0.0</v>
      </c>
      <c r="AI78" s="39">
        <v>0.0</v>
      </c>
      <c r="AJ78" s="39">
        <v>0.0</v>
      </c>
      <c r="AK78" s="39">
        <v>0.0</v>
      </c>
      <c r="AL78" s="39">
        <v>4.60803810622E11</v>
      </c>
      <c r="AM78" s="39" t="s">
        <v>1209</v>
      </c>
      <c r="AN78" s="42">
        <v>0.09</v>
      </c>
      <c r="AO78" s="43">
        <v>870.0</v>
      </c>
      <c r="AP78" s="39">
        <v>0.0</v>
      </c>
      <c r="AQ78" s="39">
        <v>0.0</v>
      </c>
      <c r="AR78" s="39">
        <v>0.0</v>
      </c>
      <c r="AS78" s="39">
        <v>1500.0</v>
      </c>
      <c r="AT78" s="39">
        <v>900.0</v>
      </c>
      <c r="AU78" s="39">
        <v>600.0</v>
      </c>
      <c r="AV78" s="39">
        <v>0.0</v>
      </c>
      <c r="AW78" s="39">
        <v>0.0</v>
      </c>
      <c r="AX78" s="39">
        <v>0.0</v>
      </c>
      <c r="AY78" s="39">
        <v>0.0</v>
      </c>
      <c r="AZ78" s="39">
        <v>0.0</v>
      </c>
      <c r="BA78" s="39">
        <v>0.0</v>
      </c>
      <c r="BB78" s="39">
        <v>0.0</v>
      </c>
      <c r="BC78" s="39">
        <v>568.0</v>
      </c>
      <c r="BD78" s="39">
        <v>0.0</v>
      </c>
      <c r="BE78" s="39">
        <v>0.0</v>
      </c>
      <c r="BF78" s="39">
        <v>0.0</v>
      </c>
      <c r="BG78" s="39">
        <v>0.0</v>
      </c>
      <c r="BH78" s="39">
        <v>0.0</v>
      </c>
      <c r="BI78" s="44"/>
    </row>
    <row r="79">
      <c r="A79" s="38">
        <f t="shared" si="1"/>
        <v>45972</v>
      </c>
      <c r="B79" s="39">
        <v>78.0</v>
      </c>
      <c r="C79" s="39" t="s">
        <v>1457</v>
      </c>
      <c r="D79" s="39">
        <v>1.0</v>
      </c>
      <c r="E79" s="39">
        <v>2.65137421E9</v>
      </c>
      <c r="F79" s="39" t="s">
        <v>1204</v>
      </c>
      <c r="G79" s="39" t="s">
        <v>1458</v>
      </c>
      <c r="H79" s="39" t="s">
        <v>1459</v>
      </c>
      <c r="I79" s="40">
        <v>45972.0</v>
      </c>
      <c r="J79" s="40">
        <v>45972.0</v>
      </c>
      <c r="K79" s="40">
        <v>45973.0</v>
      </c>
      <c r="L79" s="41">
        <v>45981.0</v>
      </c>
      <c r="M79" s="41">
        <v>45981.0</v>
      </c>
      <c r="N79" s="41">
        <v>45985.0</v>
      </c>
      <c r="O79" s="39">
        <v>6.023557551E9</v>
      </c>
      <c r="P79" s="39" t="s">
        <v>1317</v>
      </c>
      <c r="Q79" s="39" t="s">
        <v>1460</v>
      </c>
      <c r="R79" s="39">
        <v>1.0</v>
      </c>
      <c r="S79" s="39">
        <v>13134.0</v>
      </c>
      <c r="T79" s="39">
        <v>17500.0</v>
      </c>
      <c r="U79" s="39">
        <v>0.0</v>
      </c>
      <c r="V79" s="39">
        <v>4366.0</v>
      </c>
      <c r="W79" s="39">
        <v>13134.0</v>
      </c>
      <c r="X79" s="39">
        <v>11000.0</v>
      </c>
      <c r="Y79" s="39">
        <v>6500.0</v>
      </c>
      <c r="Z79" s="39">
        <v>0.0</v>
      </c>
      <c r="AA79" s="39">
        <v>0.0</v>
      </c>
      <c r="AB79" s="39">
        <v>0.0</v>
      </c>
      <c r="AC79" s="39">
        <v>0.0</v>
      </c>
      <c r="AD79" s="39">
        <v>0.0</v>
      </c>
      <c r="AE79" s="39">
        <v>0.0</v>
      </c>
      <c r="AF79" s="39">
        <v>0.0</v>
      </c>
      <c r="AG79" s="39">
        <v>0.0</v>
      </c>
      <c r="AH79" s="39">
        <v>0.0</v>
      </c>
      <c r="AI79" s="39">
        <v>0.0</v>
      </c>
      <c r="AJ79" s="39">
        <v>0.0</v>
      </c>
      <c r="AK79" s="39">
        <v>0.0</v>
      </c>
      <c r="AL79" s="39">
        <v>4.60807541795E11</v>
      </c>
      <c r="AM79" s="39" t="s">
        <v>1209</v>
      </c>
      <c r="AN79" s="42">
        <v>0.09</v>
      </c>
      <c r="AO79" s="43">
        <v>743.0</v>
      </c>
      <c r="AP79" s="39">
        <v>0.0</v>
      </c>
      <c r="AQ79" s="39">
        <v>0.0</v>
      </c>
      <c r="AR79" s="39">
        <v>0.0</v>
      </c>
      <c r="AS79" s="39">
        <v>2710.0</v>
      </c>
      <c r="AT79" s="39">
        <v>1670.0</v>
      </c>
      <c r="AU79" s="39">
        <v>1040.0</v>
      </c>
      <c r="AV79" s="39">
        <v>0.0</v>
      </c>
      <c r="AW79" s="39">
        <v>0.0</v>
      </c>
      <c r="AX79" s="39">
        <v>0.0</v>
      </c>
      <c r="AY79" s="39">
        <v>0.0</v>
      </c>
      <c r="AZ79" s="39">
        <v>0.0</v>
      </c>
      <c r="BA79" s="39">
        <v>0.0</v>
      </c>
      <c r="BB79" s="39">
        <v>0.0</v>
      </c>
      <c r="BC79" s="39">
        <v>913.0</v>
      </c>
      <c r="BD79" s="39">
        <v>0.0</v>
      </c>
      <c r="BE79" s="39">
        <v>0.0</v>
      </c>
      <c r="BF79" s="39">
        <v>0.0</v>
      </c>
      <c r="BG79" s="39">
        <v>0.0</v>
      </c>
      <c r="BH79" s="39">
        <v>0.0</v>
      </c>
      <c r="BI79" s="44"/>
    </row>
    <row r="80">
      <c r="A80" s="38">
        <f t="shared" si="1"/>
        <v>45972</v>
      </c>
      <c r="B80" s="39">
        <v>79.0</v>
      </c>
      <c r="C80" s="39" t="s">
        <v>1461</v>
      </c>
      <c r="D80" s="39">
        <v>2.0</v>
      </c>
      <c r="E80" s="39">
        <v>2.651413295E9</v>
      </c>
      <c r="F80" s="39" t="s">
        <v>1204</v>
      </c>
      <c r="G80" s="39" t="s">
        <v>1462</v>
      </c>
      <c r="H80" s="39" t="s">
        <v>1463</v>
      </c>
      <c r="I80" s="40">
        <v>45972.0</v>
      </c>
      <c r="J80" s="40">
        <v>45972.0</v>
      </c>
      <c r="K80" s="40">
        <v>45973.0</v>
      </c>
      <c r="L80" s="41">
        <v>45981.0</v>
      </c>
      <c r="M80" s="41">
        <v>45981.0</v>
      </c>
      <c r="N80" s="41">
        <v>45985.0</v>
      </c>
      <c r="O80" s="39">
        <v>4.968370224E9</v>
      </c>
      <c r="P80" s="39" t="s">
        <v>1240</v>
      </c>
      <c r="Q80" s="39" t="s">
        <v>1241</v>
      </c>
      <c r="R80" s="39">
        <v>1.0</v>
      </c>
      <c r="S80" s="39">
        <v>15011.0</v>
      </c>
      <c r="T80" s="39">
        <v>20000.0</v>
      </c>
      <c r="U80" s="39">
        <v>0.0</v>
      </c>
      <c r="V80" s="39">
        <v>4989.0</v>
      </c>
      <c r="W80" s="39">
        <v>0.0</v>
      </c>
      <c r="X80" s="39">
        <v>20000.0</v>
      </c>
      <c r="Y80" s="39">
        <v>0.0</v>
      </c>
      <c r="Z80" s="39">
        <v>0.0</v>
      </c>
      <c r="AA80" s="39">
        <v>0.0</v>
      </c>
      <c r="AB80" s="39">
        <v>0.0</v>
      </c>
      <c r="AC80" s="39">
        <v>0.0</v>
      </c>
      <c r="AD80" s="39">
        <v>0.0</v>
      </c>
      <c r="AE80" s="39">
        <v>0.0</v>
      </c>
      <c r="AF80" s="39">
        <v>0.0</v>
      </c>
      <c r="AG80" s="39">
        <v>0.0</v>
      </c>
      <c r="AH80" s="39">
        <v>0.0</v>
      </c>
      <c r="AI80" s="39">
        <v>0.0</v>
      </c>
      <c r="AJ80" s="39">
        <v>0.0</v>
      </c>
      <c r="AK80" s="39">
        <v>0.0</v>
      </c>
      <c r="AL80" s="39">
        <v>4.60807541806E11</v>
      </c>
      <c r="AM80" s="39" t="s">
        <v>1209</v>
      </c>
      <c r="AN80" s="42">
        <v>0.13</v>
      </c>
      <c r="AO80" s="43">
        <v>1968.0</v>
      </c>
      <c r="AP80" s="39">
        <v>0.0</v>
      </c>
      <c r="AQ80" s="39">
        <v>0.0</v>
      </c>
      <c r="AR80" s="39">
        <v>0.0</v>
      </c>
      <c r="AS80" s="39">
        <v>2180.0</v>
      </c>
      <c r="AT80" s="39">
        <v>1390.0</v>
      </c>
      <c r="AU80" s="39">
        <v>790.0</v>
      </c>
      <c r="AV80" s="39">
        <v>0.0</v>
      </c>
      <c r="AW80" s="39">
        <v>0.0</v>
      </c>
      <c r="AX80" s="39">
        <v>0.0</v>
      </c>
      <c r="AY80" s="39">
        <v>0.0</v>
      </c>
      <c r="AZ80" s="39">
        <v>0.0</v>
      </c>
      <c r="BA80" s="39">
        <v>0.0</v>
      </c>
      <c r="BB80" s="39">
        <v>0.0</v>
      </c>
      <c r="BC80" s="39">
        <v>841.0</v>
      </c>
      <c r="BD80" s="39">
        <v>0.0</v>
      </c>
      <c r="BE80" s="39">
        <v>0.0</v>
      </c>
      <c r="BF80" s="39">
        <v>0.0</v>
      </c>
      <c r="BG80" s="39">
        <v>0.0</v>
      </c>
      <c r="BH80" s="39">
        <v>0.0</v>
      </c>
      <c r="BI80" s="44"/>
    </row>
    <row r="81">
      <c r="A81" s="38">
        <f t="shared" si="1"/>
        <v>45972</v>
      </c>
      <c r="B81" s="39">
        <v>80.0</v>
      </c>
      <c r="C81" s="39" t="s">
        <v>1464</v>
      </c>
      <c r="D81" s="39">
        <v>1.0</v>
      </c>
      <c r="E81" s="39">
        <v>2.65149022E9</v>
      </c>
      <c r="F81" s="39" t="s">
        <v>1204</v>
      </c>
      <c r="G81" s="39" t="s">
        <v>1465</v>
      </c>
      <c r="H81" s="39" t="s">
        <v>1466</v>
      </c>
      <c r="I81" s="40">
        <v>45972.0</v>
      </c>
      <c r="J81" s="40">
        <v>45972.0</v>
      </c>
      <c r="K81" s="40">
        <v>45973.0</v>
      </c>
      <c r="L81" s="41">
        <v>45979.0</v>
      </c>
      <c r="M81" s="41">
        <v>45979.0</v>
      </c>
      <c r="N81" s="41">
        <v>45981.0</v>
      </c>
      <c r="O81" s="39">
        <v>6.342749718E9</v>
      </c>
      <c r="P81" s="39" t="s">
        <v>1213</v>
      </c>
      <c r="Q81" s="39" t="s">
        <v>1214</v>
      </c>
      <c r="R81" s="39">
        <v>1.0</v>
      </c>
      <c r="S81" s="39">
        <v>21036.0</v>
      </c>
      <c r="T81" s="39">
        <v>59000.0</v>
      </c>
      <c r="U81" s="39">
        <v>0.0</v>
      </c>
      <c r="V81" s="39">
        <v>37964.0</v>
      </c>
      <c r="W81" s="39">
        <v>21036.0</v>
      </c>
      <c r="X81" s="39">
        <v>59000.0</v>
      </c>
      <c r="Y81" s="39">
        <v>0.0</v>
      </c>
      <c r="Z81" s="39">
        <v>0.0</v>
      </c>
      <c r="AA81" s="39">
        <v>0.0</v>
      </c>
      <c r="AB81" s="39">
        <v>0.0</v>
      </c>
      <c r="AC81" s="39">
        <v>0.0</v>
      </c>
      <c r="AD81" s="39">
        <v>0.0</v>
      </c>
      <c r="AE81" s="39">
        <v>0.0</v>
      </c>
      <c r="AF81" s="39">
        <v>0.0</v>
      </c>
      <c r="AG81" s="39">
        <v>0.0</v>
      </c>
      <c r="AH81" s="39">
        <v>0.0</v>
      </c>
      <c r="AI81" s="39">
        <v>0.0</v>
      </c>
      <c r="AJ81" s="39">
        <v>0.0</v>
      </c>
      <c r="AK81" s="39">
        <v>0.0</v>
      </c>
      <c r="AL81" s="39">
        <v>4.6080754181E11</v>
      </c>
      <c r="AM81" s="39" t="s">
        <v>1209</v>
      </c>
      <c r="AN81" s="42">
        <v>0.09</v>
      </c>
      <c r="AO81" s="43">
        <v>1638.0</v>
      </c>
      <c r="AP81" s="39">
        <v>0.0</v>
      </c>
      <c r="AQ81" s="39">
        <v>0.0</v>
      </c>
      <c r="AR81" s="39">
        <v>0.0</v>
      </c>
      <c r="AS81" s="39">
        <v>33830.0</v>
      </c>
      <c r="AT81" s="39">
        <v>29240.0</v>
      </c>
      <c r="AU81" s="39">
        <v>4590.0</v>
      </c>
      <c r="AV81" s="39">
        <v>0.0</v>
      </c>
      <c r="AW81" s="39">
        <v>2000.0</v>
      </c>
      <c r="AX81" s="39">
        <v>0.0</v>
      </c>
      <c r="AY81" s="39">
        <v>0.0</v>
      </c>
      <c r="AZ81" s="39">
        <v>0.0</v>
      </c>
      <c r="BA81" s="39">
        <v>0.0</v>
      </c>
      <c r="BB81" s="39">
        <v>0.0</v>
      </c>
      <c r="BC81" s="39">
        <v>496.0</v>
      </c>
      <c r="BD81" s="39">
        <v>0.0</v>
      </c>
      <c r="BE81" s="39">
        <v>0.0</v>
      </c>
      <c r="BF81" s="39">
        <v>0.0</v>
      </c>
      <c r="BG81" s="39">
        <v>0.0</v>
      </c>
      <c r="BH81" s="39">
        <v>0.0</v>
      </c>
      <c r="BI81" s="44"/>
    </row>
    <row r="82">
      <c r="A82" s="38">
        <f t="shared" si="1"/>
        <v>45972</v>
      </c>
      <c r="B82" s="39">
        <v>81.0</v>
      </c>
      <c r="C82" s="39" t="s">
        <v>1464</v>
      </c>
      <c r="D82" s="39">
        <v>2.0</v>
      </c>
      <c r="E82" s="39">
        <v>2.65149022E9</v>
      </c>
      <c r="F82" s="39" t="s">
        <v>1204</v>
      </c>
      <c r="G82" s="39" t="s">
        <v>1465</v>
      </c>
      <c r="H82" s="39" t="s">
        <v>1466</v>
      </c>
      <c r="I82" s="40">
        <v>45972.0</v>
      </c>
      <c r="J82" s="40">
        <v>45972.0</v>
      </c>
      <c r="K82" s="40">
        <v>45973.0</v>
      </c>
      <c r="L82" s="41">
        <v>45979.0</v>
      </c>
      <c r="M82" s="41">
        <v>45979.0</v>
      </c>
      <c r="N82" s="41">
        <v>45981.0</v>
      </c>
      <c r="O82" s="39">
        <v>6.342749718E9</v>
      </c>
      <c r="P82" s="39" t="s">
        <v>1213</v>
      </c>
      <c r="Q82" s="39" t="s">
        <v>1283</v>
      </c>
      <c r="R82" s="39">
        <v>1.0</v>
      </c>
      <c r="S82" s="39">
        <v>21036.0</v>
      </c>
      <c r="T82" s="39">
        <v>59000.0</v>
      </c>
      <c r="U82" s="39">
        <v>0.0</v>
      </c>
      <c r="V82" s="39">
        <v>37964.0</v>
      </c>
      <c r="W82" s="39">
        <v>21036.0</v>
      </c>
      <c r="X82" s="39">
        <v>59000.0</v>
      </c>
      <c r="Y82" s="39">
        <v>0.0</v>
      </c>
      <c r="Z82" s="39">
        <v>0.0</v>
      </c>
      <c r="AA82" s="39">
        <v>0.0</v>
      </c>
      <c r="AB82" s="39">
        <v>0.0</v>
      </c>
      <c r="AC82" s="39">
        <v>0.0</v>
      </c>
      <c r="AD82" s="39">
        <v>0.0</v>
      </c>
      <c r="AE82" s="39">
        <v>0.0</v>
      </c>
      <c r="AF82" s="39">
        <v>0.0</v>
      </c>
      <c r="AG82" s="39">
        <v>0.0</v>
      </c>
      <c r="AH82" s="39">
        <v>0.0</v>
      </c>
      <c r="AI82" s="39">
        <v>0.0</v>
      </c>
      <c r="AJ82" s="39">
        <v>0.0</v>
      </c>
      <c r="AK82" s="39">
        <v>0.0</v>
      </c>
      <c r="AL82" s="39">
        <v>4.6080754181E11</v>
      </c>
      <c r="AM82" s="39" t="s">
        <v>1209</v>
      </c>
      <c r="AN82" s="42">
        <v>0.09</v>
      </c>
      <c r="AO82" s="43">
        <v>1638.0</v>
      </c>
      <c r="AP82" s="39">
        <v>0.0</v>
      </c>
      <c r="AQ82" s="39">
        <v>0.0</v>
      </c>
      <c r="AR82" s="39">
        <v>0.0</v>
      </c>
      <c r="AS82" s="39">
        <v>33830.0</v>
      </c>
      <c r="AT82" s="39">
        <v>29240.0</v>
      </c>
      <c r="AU82" s="39">
        <v>4590.0</v>
      </c>
      <c r="AV82" s="39">
        <v>0.0</v>
      </c>
      <c r="AW82" s="39">
        <v>2000.0</v>
      </c>
      <c r="AX82" s="39">
        <v>0.0</v>
      </c>
      <c r="AY82" s="39">
        <v>0.0</v>
      </c>
      <c r="AZ82" s="39">
        <v>0.0</v>
      </c>
      <c r="BA82" s="39">
        <v>0.0</v>
      </c>
      <c r="BB82" s="39">
        <v>0.0</v>
      </c>
      <c r="BC82" s="39">
        <v>496.0</v>
      </c>
      <c r="BD82" s="39">
        <v>0.0</v>
      </c>
      <c r="BE82" s="39">
        <v>0.0</v>
      </c>
      <c r="BF82" s="39">
        <v>0.0</v>
      </c>
      <c r="BG82" s="39">
        <v>0.0</v>
      </c>
      <c r="BH82" s="39">
        <v>0.0</v>
      </c>
      <c r="BI82" s="44"/>
    </row>
    <row r="83">
      <c r="A83" s="38">
        <f t="shared" si="1"/>
        <v>45972</v>
      </c>
      <c r="B83" s="39">
        <v>82.0</v>
      </c>
      <c r="C83" s="39" t="s">
        <v>1467</v>
      </c>
      <c r="D83" s="39">
        <v>1.0</v>
      </c>
      <c r="E83" s="39">
        <v>2.651608511E9</v>
      </c>
      <c r="F83" s="39" t="s">
        <v>1204</v>
      </c>
      <c r="G83" s="39" t="s">
        <v>1468</v>
      </c>
      <c r="H83" s="39" t="s">
        <v>1469</v>
      </c>
      <c r="I83" s="40">
        <v>45972.0</v>
      </c>
      <c r="J83" s="40">
        <v>45973.0</v>
      </c>
      <c r="K83" s="40">
        <v>45974.0</v>
      </c>
      <c r="L83" s="41">
        <v>45982.0</v>
      </c>
      <c r="M83" s="41">
        <v>45982.0</v>
      </c>
      <c r="N83" s="41">
        <v>45986.0</v>
      </c>
      <c r="O83" s="39">
        <v>6.342749718E9</v>
      </c>
      <c r="P83" s="39" t="s">
        <v>1213</v>
      </c>
      <c r="Q83" s="39" t="s">
        <v>1214</v>
      </c>
      <c r="R83" s="39">
        <v>1.0</v>
      </c>
      <c r="S83" s="39">
        <v>23131.0</v>
      </c>
      <c r="T83" s="39">
        <v>59000.0</v>
      </c>
      <c r="U83" s="39">
        <v>0.0</v>
      </c>
      <c r="V83" s="39">
        <v>35869.0</v>
      </c>
      <c r="W83" s="39">
        <v>23131.0</v>
      </c>
      <c r="X83" s="39">
        <v>59000.0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4.6081394947E11</v>
      </c>
      <c r="AM83" s="39" t="s">
        <v>1209</v>
      </c>
      <c r="AN83" s="42">
        <v>0.09</v>
      </c>
      <c r="AO83" s="43">
        <v>2038.0</v>
      </c>
      <c r="AP83" s="39">
        <v>0.0</v>
      </c>
      <c r="AQ83" s="39">
        <v>0.0</v>
      </c>
      <c r="AR83" s="39">
        <v>0.0</v>
      </c>
      <c r="AS83" s="39">
        <v>33330.0</v>
      </c>
      <c r="AT83" s="39">
        <v>29240.0</v>
      </c>
      <c r="AU83" s="39">
        <v>4090.0</v>
      </c>
      <c r="AV83" s="39">
        <v>0.0</v>
      </c>
      <c r="AW83" s="39">
        <v>0.0</v>
      </c>
      <c r="AX83" s="39">
        <v>0.0</v>
      </c>
      <c r="AY83" s="39">
        <v>0.0</v>
      </c>
      <c r="AZ83" s="39">
        <v>0.0</v>
      </c>
      <c r="BA83" s="39">
        <v>0.0</v>
      </c>
      <c r="BB83" s="39">
        <v>0.0</v>
      </c>
      <c r="BC83" s="39">
        <v>501.0</v>
      </c>
      <c r="BD83" s="39">
        <v>0.0</v>
      </c>
      <c r="BE83" s="39">
        <v>0.0</v>
      </c>
      <c r="BF83" s="39">
        <v>0.0</v>
      </c>
      <c r="BG83" s="39">
        <v>0.0</v>
      </c>
      <c r="BH83" s="39">
        <v>0.0</v>
      </c>
      <c r="BI83" s="44"/>
    </row>
    <row r="84">
      <c r="A84" s="38">
        <f t="shared" si="1"/>
        <v>45972</v>
      </c>
      <c r="B84" s="39">
        <v>83.0</v>
      </c>
      <c r="C84" s="39" t="s">
        <v>1470</v>
      </c>
      <c r="D84" s="39">
        <v>1.0</v>
      </c>
      <c r="E84" s="39">
        <v>2.651703932E9</v>
      </c>
      <c r="F84" s="39" t="s">
        <v>1204</v>
      </c>
      <c r="G84" s="39" t="s">
        <v>1471</v>
      </c>
      <c r="H84" s="39" t="s">
        <v>1472</v>
      </c>
      <c r="I84" s="40">
        <v>45972.0</v>
      </c>
      <c r="J84" s="40">
        <v>45973.0</v>
      </c>
      <c r="K84" s="40">
        <v>45974.0</v>
      </c>
      <c r="L84" s="41">
        <v>45974.0</v>
      </c>
      <c r="M84" s="41">
        <v>45974.0</v>
      </c>
      <c r="N84" s="41">
        <v>45978.0</v>
      </c>
      <c r="O84" s="39">
        <v>8.718840321E9</v>
      </c>
      <c r="P84" s="39" t="s">
        <v>1473</v>
      </c>
      <c r="Q84" s="39" t="s">
        <v>1474</v>
      </c>
      <c r="R84" s="39">
        <v>1.0</v>
      </c>
      <c r="S84" s="39">
        <v>51731.0</v>
      </c>
      <c r="T84" s="39">
        <v>65000.0</v>
      </c>
      <c r="U84" s="39">
        <v>0.0</v>
      </c>
      <c r="V84" s="39">
        <v>13269.0</v>
      </c>
      <c r="W84" s="39">
        <v>0.0</v>
      </c>
      <c r="X84" s="39">
        <v>65000.0</v>
      </c>
      <c r="Y84" s="39">
        <v>0.0</v>
      </c>
      <c r="Z84" s="39">
        <v>0.0</v>
      </c>
      <c r="AA84" s="39">
        <v>0.0</v>
      </c>
      <c r="AB84" s="39">
        <v>0.0</v>
      </c>
      <c r="AC84" s="39">
        <v>0.0</v>
      </c>
      <c r="AD84" s="39">
        <v>0.0</v>
      </c>
      <c r="AE84" s="39">
        <v>0.0</v>
      </c>
      <c r="AF84" s="39">
        <v>0.0</v>
      </c>
      <c r="AG84" s="39">
        <v>0.0</v>
      </c>
      <c r="AH84" s="39">
        <v>0.0</v>
      </c>
      <c r="AI84" s="39">
        <v>0.0</v>
      </c>
      <c r="AJ84" s="39">
        <v>0.0</v>
      </c>
      <c r="AK84" s="39">
        <v>0.0</v>
      </c>
      <c r="AL84" s="39">
        <v>5.40625834064E11</v>
      </c>
      <c r="AM84" s="39" t="s">
        <v>1209</v>
      </c>
      <c r="AN84" s="42">
        <v>0.09</v>
      </c>
      <c r="AO84" s="43">
        <v>2170.0</v>
      </c>
      <c r="AP84" s="39">
        <v>0.0</v>
      </c>
      <c r="AQ84" s="39">
        <v>0.0</v>
      </c>
      <c r="AR84" s="39">
        <v>0.0</v>
      </c>
      <c r="AS84" s="39">
        <v>10500.0</v>
      </c>
      <c r="AT84" s="39">
        <v>5900.0</v>
      </c>
      <c r="AU84" s="39">
        <v>4600.0</v>
      </c>
      <c r="AV84" s="39">
        <v>0.0</v>
      </c>
      <c r="AW84" s="39">
        <v>0.0</v>
      </c>
      <c r="AX84" s="39">
        <v>0.0</v>
      </c>
      <c r="AY84" s="39">
        <v>0.0</v>
      </c>
      <c r="AZ84" s="39">
        <v>0.0</v>
      </c>
      <c r="BA84" s="39">
        <v>0.0</v>
      </c>
      <c r="BB84" s="39">
        <v>0.0</v>
      </c>
      <c r="BC84" s="39">
        <v>599.0</v>
      </c>
      <c r="BD84" s="39">
        <v>0.0</v>
      </c>
      <c r="BE84" s="39">
        <v>0.0</v>
      </c>
      <c r="BF84" s="39">
        <v>0.0</v>
      </c>
      <c r="BG84" s="39">
        <v>0.0</v>
      </c>
      <c r="BH84" s="39">
        <v>0.0</v>
      </c>
      <c r="BI84" s="44"/>
    </row>
    <row r="85">
      <c r="A85" s="38">
        <f t="shared" si="1"/>
        <v>45972</v>
      </c>
      <c r="B85" s="39">
        <v>84.0</v>
      </c>
      <c r="C85" s="39" t="s">
        <v>1475</v>
      </c>
      <c r="D85" s="39">
        <v>1.0</v>
      </c>
      <c r="E85" s="39">
        <v>2.65175842E9</v>
      </c>
      <c r="F85" s="39" t="s">
        <v>1204</v>
      </c>
      <c r="G85" s="39" t="s">
        <v>1476</v>
      </c>
      <c r="H85" s="39" t="s">
        <v>1477</v>
      </c>
      <c r="I85" s="40">
        <v>45972.0</v>
      </c>
      <c r="J85" s="40">
        <v>45973.0</v>
      </c>
      <c r="K85" s="40">
        <v>45974.0</v>
      </c>
      <c r="L85" s="41">
        <v>45980.0</v>
      </c>
      <c r="M85" s="41">
        <v>45980.0</v>
      </c>
      <c r="N85" s="41">
        <v>45982.0</v>
      </c>
      <c r="O85" s="39">
        <v>8.71379692E9</v>
      </c>
      <c r="P85" s="39" t="s">
        <v>1478</v>
      </c>
      <c r="Q85" s="39" t="s">
        <v>1479</v>
      </c>
      <c r="R85" s="39">
        <v>1.0</v>
      </c>
      <c r="S85" s="39">
        <v>87054.0</v>
      </c>
      <c r="T85" s="39">
        <v>109000.0</v>
      </c>
      <c r="U85" s="39">
        <v>0.0</v>
      </c>
      <c r="V85" s="39">
        <v>21946.0</v>
      </c>
      <c r="W85" s="39">
        <v>0.0</v>
      </c>
      <c r="X85" s="39">
        <v>109000.0</v>
      </c>
      <c r="Y85" s="39">
        <v>0.0</v>
      </c>
      <c r="Z85" s="39">
        <v>0.0</v>
      </c>
      <c r="AA85" s="39">
        <v>0.0</v>
      </c>
      <c r="AB85" s="39">
        <v>0.0</v>
      </c>
      <c r="AC85" s="39">
        <v>0.0</v>
      </c>
      <c r="AD85" s="39">
        <v>0.0</v>
      </c>
      <c r="AE85" s="39">
        <v>0.0</v>
      </c>
      <c r="AF85" s="39">
        <v>0.0</v>
      </c>
      <c r="AG85" s="39">
        <v>0.0</v>
      </c>
      <c r="AH85" s="39">
        <v>0.0</v>
      </c>
      <c r="AI85" s="39">
        <v>0.0</v>
      </c>
      <c r="AJ85" s="39">
        <v>0.0</v>
      </c>
      <c r="AK85" s="39">
        <v>0.0</v>
      </c>
      <c r="AL85" s="39">
        <v>4.60813949481E11</v>
      </c>
      <c r="AM85" s="39" t="s">
        <v>1209</v>
      </c>
      <c r="AN85" s="42">
        <v>0.09</v>
      </c>
      <c r="AO85" s="43">
        <v>4722.0</v>
      </c>
      <c r="AP85" s="39">
        <v>0.0</v>
      </c>
      <c r="AQ85" s="39">
        <v>0.0</v>
      </c>
      <c r="AR85" s="39">
        <v>0.0</v>
      </c>
      <c r="AS85" s="39">
        <v>12900.0</v>
      </c>
      <c r="AT85" s="39">
        <v>6540.0</v>
      </c>
      <c r="AU85" s="39">
        <v>6360.0</v>
      </c>
      <c r="AV85" s="39">
        <v>0.0</v>
      </c>
      <c r="AW85" s="39">
        <v>0.0</v>
      </c>
      <c r="AX85" s="39">
        <v>0.0</v>
      </c>
      <c r="AY85" s="39">
        <v>0.0</v>
      </c>
      <c r="AZ85" s="39">
        <v>0.0</v>
      </c>
      <c r="BA85" s="39">
        <v>0.0</v>
      </c>
      <c r="BB85" s="39">
        <v>0.0</v>
      </c>
      <c r="BC85" s="39">
        <v>4324.0</v>
      </c>
      <c r="BD85" s="39">
        <v>0.0</v>
      </c>
      <c r="BE85" s="39">
        <v>0.0</v>
      </c>
      <c r="BF85" s="39">
        <v>0.0</v>
      </c>
      <c r="BG85" s="39">
        <v>0.0</v>
      </c>
      <c r="BH85" s="39">
        <v>0.0</v>
      </c>
      <c r="BI85" s="44"/>
    </row>
    <row r="86">
      <c r="A86" s="38">
        <f t="shared" si="1"/>
        <v>45972</v>
      </c>
      <c r="B86" s="39">
        <v>85.0</v>
      </c>
      <c r="C86" s="39" t="s">
        <v>1480</v>
      </c>
      <c r="D86" s="39">
        <v>1.0</v>
      </c>
      <c r="E86" s="39">
        <v>2.651822325E9</v>
      </c>
      <c r="F86" s="39" t="s">
        <v>1204</v>
      </c>
      <c r="G86" s="39" t="s">
        <v>1481</v>
      </c>
      <c r="H86" s="39" t="s">
        <v>1482</v>
      </c>
      <c r="I86" s="40">
        <v>45972.0</v>
      </c>
      <c r="J86" s="40">
        <v>45973.0</v>
      </c>
      <c r="K86" s="40">
        <v>45974.0</v>
      </c>
      <c r="L86" s="41">
        <v>45991.0</v>
      </c>
      <c r="M86" s="41">
        <v>45991.0</v>
      </c>
      <c r="N86" s="41">
        <v>45993.0</v>
      </c>
      <c r="O86" s="39">
        <v>7.29772671E9</v>
      </c>
      <c r="P86" s="39" t="s">
        <v>1325</v>
      </c>
      <c r="Q86" s="39" t="s">
        <v>1483</v>
      </c>
      <c r="R86" s="39">
        <v>0.0</v>
      </c>
      <c r="S86" s="39">
        <v>3385.0</v>
      </c>
      <c r="T86" s="39">
        <v>3500.0</v>
      </c>
      <c r="U86" s="39">
        <v>0.0</v>
      </c>
      <c r="V86" s="39">
        <v>115.0</v>
      </c>
      <c r="W86" s="39">
        <v>0.0</v>
      </c>
      <c r="X86" s="39">
        <v>0.0</v>
      </c>
      <c r="Y86" s="39">
        <v>0.0</v>
      </c>
      <c r="Z86" s="39">
        <v>3500.0</v>
      </c>
      <c r="AA86" s="39">
        <v>0.0</v>
      </c>
      <c r="AB86" s="39">
        <v>0.0</v>
      </c>
      <c r="AC86" s="39">
        <v>0.0</v>
      </c>
      <c r="AD86" s="39">
        <v>0.0</v>
      </c>
      <c r="AE86" s="39">
        <v>0.0</v>
      </c>
      <c r="AF86" s="39">
        <v>0.0</v>
      </c>
      <c r="AG86" s="39">
        <v>0.0</v>
      </c>
      <c r="AH86" s="39">
        <v>0.0</v>
      </c>
      <c r="AI86" s="39">
        <v>0.0</v>
      </c>
      <c r="AJ86" s="39">
        <v>0.0</v>
      </c>
      <c r="AK86" s="39">
        <v>0.0</v>
      </c>
      <c r="AL86" s="39">
        <v>4.60813949492E11</v>
      </c>
      <c r="AM86" s="39" t="s">
        <v>1209</v>
      </c>
      <c r="AN86" s="42">
        <v>0.0</v>
      </c>
      <c r="AO86" s="43">
        <v>0.0</v>
      </c>
      <c r="AP86" s="39">
        <v>0.0</v>
      </c>
      <c r="AQ86" s="39">
        <v>115.0</v>
      </c>
      <c r="AR86" s="39">
        <v>0.0</v>
      </c>
      <c r="AS86" s="39">
        <v>0.0</v>
      </c>
      <c r="AT86" s="39">
        <v>0.0</v>
      </c>
      <c r="AU86" s="39">
        <v>0.0</v>
      </c>
      <c r="AV86" s="39">
        <v>0.0</v>
      </c>
      <c r="AW86" s="39">
        <v>0.0</v>
      </c>
      <c r="AX86" s="39">
        <v>0.0</v>
      </c>
      <c r="AY86" s="39">
        <v>0.0</v>
      </c>
      <c r="AZ86" s="39">
        <v>0.0</v>
      </c>
      <c r="BA86" s="39">
        <v>0.0</v>
      </c>
      <c r="BB86" s="39">
        <v>0.0</v>
      </c>
      <c r="BC86" s="39">
        <v>0.0</v>
      </c>
      <c r="BD86" s="39">
        <v>0.0</v>
      </c>
      <c r="BE86" s="39">
        <v>0.0</v>
      </c>
      <c r="BF86" s="39">
        <v>0.0</v>
      </c>
      <c r="BG86" s="39">
        <v>0.0</v>
      </c>
      <c r="BH86" s="39">
        <v>0.0</v>
      </c>
      <c r="BI86" s="44"/>
    </row>
    <row r="87">
      <c r="A87" s="38">
        <f t="shared" si="1"/>
        <v>45972</v>
      </c>
      <c r="B87" s="39">
        <v>86.0</v>
      </c>
      <c r="C87" s="39" t="s">
        <v>1480</v>
      </c>
      <c r="D87" s="39">
        <v>1.0</v>
      </c>
      <c r="E87" s="39">
        <v>2.651822325E9</v>
      </c>
      <c r="F87" s="39" t="s">
        <v>1204</v>
      </c>
      <c r="G87" s="39" t="s">
        <v>1481</v>
      </c>
      <c r="H87" s="39" t="s">
        <v>1482</v>
      </c>
      <c r="I87" s="40">
        <v>45972.0</v>
      </c>
      <c r="J87" s="40">
        <v>45973.0</v>
      </c>
      <c r="K87" s="40">
        <v>45974.0</v>
      </c>
      <c r="L87" s="41">
        <v>45991.0</v>
      </c>
      <c r="M87" s="41">
        <v>45991.0</v>
      </c>
      <c r="N87" s="41">
        <v>45993.0</v>
      </c>
      <c r="O87" s="39">
        <v>7.29772671E9</v>
      </c>
      <c r="P87" s="39" t="s">
        <v>1325</v>
      </c>
      <c r="Q87" s="39" t="s">
        <v>1483</v>
      </c>
      <c r="R87" s="39">
        <v>2.0</v>
      </c>
      <c r="S87" s="39">
        <v>14394.0</v>
      </c>
      <c r="T87" s="39">
        <v>39800.0</v>
      </c>
      <c r="U87" s="39">
        <v>0.0</v>
      </c>
      <c r="V87" s="39">
        <v>25406.0</v>
      </c>
      <c r="W87" s="39">
        <v>17779.0</v>
      </c>
      <c r="X87" s="39">
        <v>39800.0</v>
      </c>
      <c r="Y87" s="39">
        <v>0.0</v>
      </c>
      <c r="Z87" s="39">
        <v>0.0</v>
      </c>
      <c r="AA87" s="39">
        <v>0.0</v>
      </c>
      <c r="AB87" s="39">
        <v>0.0</v>
      </c>
      <c r="AC87" s="39">
        <v>0.0</v>
      </c>
      <c r="AD87" s="39">
        <v>0.0</v>
      </c>
      <c r="AE87" s="39">
        <v>0.0</v>
      </c>
      <c r="AF87" s="39">
        <v>0.0</v>
      </c>
      <c r="AG87" s="39">
        <v>0.0</v>
      </c>
      <c r="AH87" s="39">
        <v>0.0</v>
      </c>
      <c r="AI87" s="39">
        <v>0.0</v>
      </c>
      <c r="AJ87" s="39">
        <v>0.0</v>
      </c>
      <c r="AK87" s="39">
        <v>0.0</v>
      </c>
      <c r="AL87" s="39">
        <v>4.60813949492E11</v>
      </c>
      <c r="AM87" s="39" t="s">
        <v>1209</v>
      </c>
      <c r="AN87" s="42">
        <v>0.09</v>
      </c>
      <c r="AO87" s="43">
        <v>766.0</v>
      </c>
      <c r="AP87" s="39">
        <v>0.0</v>
      </c>
      <c r="AQ87" s="39">
        <v>0.0</v>
      </c>
      <c r="AR87" s="39">
        <v>0.0</v>
      </c>
      <c r="AS87" s="39">
        <v>20200.0</v>
      </c>
      <c r="AT87" s="39">
        <v>16680.0</v>
      </c>
      <c r="AU87" s="39">
        <v>3520.0</v>
      </c>
      <c r="AV87" s="39">
        <v>0.0</v>
      </c>
      <c r="AW87" s="39">
        <v>4000.0</v>
      </c>
      <c r="AX87" s="39">
        <v>0.0</v>
      </c>
      <c r="AY87" s="39">
        <v>0.0</v>
      </c>
      <c r="AZ87" s="39">
        <v>0.0</v>
      </c>
      <c r="BA87" s="39">
        <v>0.0</v>
      </c>
      <c r="BB87" s="39">
        <v>0.0</v>
      </c>
      <c r="BC87" s="39">
        <v>440.0</v>
      </c>
      <c r="BD87" s="39">
        <v>0.0</v>
      </c>
      <c r="BE87" s="39">
        <v>0.0</v>
      </c>
      <c r="BF87" s="39">
        <v>0.0</v>
      </c>
      <c r="BG87" s="39">
        <v>0.0</v>
      </c>
      <c r="BH87" s="39">
        <v>0.0</v>
      </c>
      <c r="BI87" s="44"/>
    </row>
    <row r="88">
      <c r="A88" s="38">
        <f t="shared" si="1"/>
        <v>45972</v>
      </c>
      <c r="B88" s="39">
        <v>87.0</v>
      </c>
      <c r="C88" s="39" t="s">
        <v>1484</v>
      </c>
      <c r="D88" s="39">
        <v>1.0</v>
      </c>
      <c r="E88" s="39">
        <v>2.651844033E9</v>
      </c>
      <c r="F88" s="39" t="s">
        <v>1204</v>
      </c>
      <c r="G88" s="39" t="s">
        <v>1485</v>
      </c>
      <c r="H88" s="39" t="s">
        <v>1486</v>
      </c>
      <c r="I88" s="40">
        <v>45972.0</v>
      </c>
      <c r="J88" s="40">
        <v>45973.0</v>
      </c>
      <c r="K88" s="40">
        <v>45974.0</v>
      </c>
      <c r="L88" s="41">
        <v>45979.0</v>
      </c>
      <c r="M88" s="41">
        <v>45979.0</v>
      </c>
      <c r="N88" s="41">
        <v>45981.0</v>
      </c>
      <c r="O88" s="39">
        <v>8.718883205E9</v>
      </c>
      <c r="P88" s="39" t="s">
        <v>1487</v>
      </c>
      <c r="Q88" s="39" t="s">
        <v>1474</v>
      </c>
      <c r="R88" s="39">
        <v>1.0</v>
      </c>
      <c r="S88" s="39">
        <v>51792.0</v>
      </c>
      <c r="T88" s="39">
        <v>69000.0</v>
      </c>
      <c r="U88" s="39">
        <v>0.0</v>
      </c>
      <c r="V88" s="39">
        <v>17208.0</v>
      </c>
      <c r="W88" s="39">
        <v>0.0</v>
      </c>
      <c r="X88" s="39">
        <v>69000.0</v>
      </c>
      <c r="Y88" s="39">
        <v>0.0</v>
      </c>
      <c r="Z88" s="39">
        <v>0.0</v>
      </c>
      <c r="AA88" s="39">
        <v>0.0</v>
      </c>
      <c r="AB88" s="39">
        <v>0.0</v>
      </c>
      <c r="AC88" s="39">
        <v>0.0</v>
      </c>
      <c r="AD88" s="39">
        <v>0.0</v>
      </c>
      <c r="AE88" s="39">
        <v>0.0</v>
      </c>
      <c r="AF88" s="39">
        <v>0.0</v>
      </c>
      <c r="AG88" s="39">
        <v>0.0</v>
      </c>
      <c r="AH88" s="39">
        <v>0.0</v>
      </c>
      <c r="AI88" s="39">
        <v>0.0</v>
      </c>
      <c r="AJ88" s="39">
        <v>0.0</v>
      </c>
      <c r="AK88" s="39">
        <v>0.0</v>
      </c>
      <c r="AL88" s="39">
        <v>5.30629673343E11</v>
      </c>
      <c r="AM88" s="39" t="s">
        <v>1209</v>
      </c>
      <c r="AN88" s="42">
        <v>0.09</v>
      </c>
      <c r="AO88" s="43">
        <v>2402.0</v>
      </c>
      <c r="AP88" s="39">
        <v>0.0</v>
      </c>
      <c r="AQ88" s="39">
        <v>0.0</v>
      </c>
      <c r="AR88" s="39">
        <v>0.0</v>
      </c>
      <c r="AS88" s="39">
        <v>10900.0</v>
      </c>
      <c r="AT88" s="39">
        <v>6140.0</v>
      </c>
      <c r="AU88" s="39">
        <v>4760.0</v>
      </c>
      <c r="AV88" s="39">
        <v>0.0</v>
      </c>
      <c r="AW88" s="39">
        <v>0.0</v>
      </c>
      <c r="AX88" s="39">
        <v>0.0</v>
      </c>
      <c r="AY88" s="39">
        <v>0.0</v>
      </c>
      <c r="AZ88" s="39">
        <v>0.0</v>
      </c>
      <c r="BA88" s="39">
        <v>0.0</v>
      </c>
      <c r="BB88" s="39">
        <v>0.0</v>
      </c>
      <c r="BC88" s="39">
        <v>3906.0</v>
      </c>
      <c r="BD88" s="39">
        <v>0.0</v>
      </c>
      <c r="BE88" s="39">
        <v>0.0</v>
      </c>
      <c r="BF88" s="39">
        <v>0.0</v>
      </c>
      <c r="BG88" s="39">
        <v>0.0</v>
      </c>
      <c r="BH88" s="39">
        <v>0.0</v>
      </c>
      <c r="BI88" s="44"/>
    </row>
    <row r="89">
      <c r="A89" s="38">
        <f t="shared" si="1"/>
        <v>45972</v>
      </c>
      <c r="B89" s="39">
        <v>88.0</v>
      </c>
      <c r="C89" s="39" t="s">
        <v>1488</v>
      </c>
      <c r="D89" s="39">
        <v>1.0</v>
      </c>
      <c r="E89" s="39">
        <v>2.651918352E9</v>
      </c>
      <c r="F89" s="39" t="s">
        <v>1204</v>
      </c>
      <c r="G89" s="39" t="s">
        <v>1489</v>
      </c>
      <c r="H89" s="39" t="s">
        <v>1490</v>
      </c>
      <c r="I89" s="40">
        <v>45972.0</v>
      </c>
      <c r="J89" s="40">
        <v>45973.0</v>
      </c>
      <c r="K89" s="40">
        <v>45974.0</v>
      </c>
      <c r="L89" s="41">
        <v>45982.0</v>
      </c>
      <c r="M89" s="41">
        <v>45982.0</v>
      </c>
      <c r="N89" s="41">
        <v>45986.0</v>
      </c>
      <c r="O89" s="39">
        <v>6.363337566E9</v>
      </c>
      <c r="P89" s="39" t="s">
        <v>1301</v>
      </c>
      <c r="Q89" s="39" t="s">
        <v>1219</v>
      </c>
      <c r="R89" s="39">
        <v>1.0</v>
      </c>
      <c r="S89" s="39">
        <v>35036.0</v>
      </c>
      <c r="T89" s="39">
        <v>48000.0</v>
      </c>
      <c r="U89" s="39">
        <v>0.0</v>
      </c>
      <c r="V89" s="39">
        <v>12964.0</v>
      </c>
      <c r="W89" s="39">
        <v>0.0</v>
      </c>
      <c r="X89" s="39">
        <v>48000.0</v>
      </c>
      <c r="Y89" s="39">
        <v>0.0</v>
      </c>
      <c r="Z89" s="39">
        <v>0.0</v>
      </c>
      <c r="AA89" s="39">
        <v>0.0</v>
      </c>
      <c r="AB89" s="39">
        <v>0.0</v>
      </c>
      <c r="AC89" s="39">
        <v>0.0</v>
      </c>
      <c r="AD89" s="39">
        <v>0.0</v>
      </c>
      <c r="AE89" s="39">
        <v>0.0</v>
      </c>
      <c r="AF89" s="39">
        <v>0.0</v>
      </c>
      <c r="AG89" s="39">
        <v>0.0</v>
      </c>
      <c r="AH89" s="39">
        <v>0.0</v>
      </c>
      <c r="AI89" s="39">
        <v>0.0</v>
      </c>
      <c r="AJ89" s="39">
        <v>0.0</v>
      </c>
      <c r="AK89" s="39">
        <v>0.0</v>
      </c>
      <c r="AL89" s="39">
        <v>4.60813949503E11</v>
      </c>
      <c r="AM89" s="39" t="s">
        <v>1209</v>
      </c>
      <c r="AN89" s="42">
        <v>0.09</v>
      </c>
      <c r="AO89" s="43">
        <v>1192.0</v>
      </c>
      <c r="AP89" s="39">
        <v>0.0</v>
      </c>
      <c r="AQ89" s="39">
        <v>0.0</v>
      </c>
      <c r="AR89" s="39">
        <v>0.0</v>
      </c>
      <c r="AS89" s="39">
        <v>8890.0</v>
      </c>
      <c r="AT89" s="39">
        <v>4980.0</v>
      </c>
      <c r="AU89" s="39">
        <v>3910.0</v>
      </c>
      <c r="AV89" s="39">
        <v>0.0</v>
      </c>
      <c r="AW89" s="39">
        <v>0.0</v>
      </c>
      <c r="AX89" s="39">
        <v>0.0</v>
      </c>
      <c r="AY89" s="39">
        <v>0.0</v>
      </c>
      <c r="AZ89" s="39">
        <v>0.0</v>
      </c>
      <c r="BA89" s="39">
        <v>0.0</v>
      </c>
      <c r="BB89" s="39">
        <v>0.0</v>
      </c>
      <c r="BC89" s="39">
        <v>2882.0</v>
      </c>
      <c r="BD89" s="39">
        <v>0.0</v>
      </c>
      <c r="BE89" s="39">
        <v>0.0</v>
      </c>
      <c r="BF89" s="39">
        <v>0.0</v>
      </c>
      <c r="BG89" s="39">
        <v>0.0</v>
      </c>
      <c r="BH89" s="39">
        <v>0.0</v>
      </c>
      <c r="BI89" s="44"/>
    </row>
    <row r="90">
      <c r="A90" s="38">
        <f t="shared" si="1"/>
        <v>45973</v>
      </c>
      <c r="B90" s="39">
        <v>89.0</v>
      </c>
      <c r="C90" s="39" t="s">
        <v>1491</v>
      </c>
      <c r="D90" s="39">
        <v>4.0</v>
      </c>
      <c r="E90" s="39">
        <v>2.65213316E9</v>
      </c>
      <c r="F90" s="39" t="s">
        <v>1204</v>
      </c>
      <c r="G90" s="39" t="s">
        <v>1492</v>
      </c>
      <c r="H90" s="39" t="s">
        <v>1493</v>
      </c>
      <c r="I90" s="40">
        <v>45973.0</v>
      </c>
      <c r="J90" s="40">
        <v>45973.0</v>
      </c>
      <c r="K90" s="40">
        <v>45974.0</v>
      </c>
      <c r="L90" s="41">
        <v>45982.0</v>
      </c>
      <c r="M90" s="41">
        <v>45982.0</v>
      </c>
      <c r="N90" s="41">
        <v>45986.0</v>
      </c>
      <c r="O90" s="39">
        <v>3.967025462E9</v>
      </c>
      <c r="P90" s="39" t="s">
        <v>1218</v>
      </c>
      <c r="Q90" s="39" t="s">
        <v>1219</v>
      </c>
      <c r="R90" s="39">
        <v>1.0</v>
      </c>
      <c r="S90" s="39">
        <v>33673.0</v>
      </c>
      <c r="T90" s="39">
        <v>39900.0</v>
      </c>
      <c r="U90" s="39">
        <v>0.0</v>
      </c>
      <c r="V90" s="39">
        <v>6227.0</v>
      </c>
      <c r="W90" s="39">
        <v>0.0</v>
      </c>
      <c r="X90" s="39">
        <v>39900.0</v>
      </c>
      <c r="Y90" s="39">
        <v>0.0</v>
      </c>
      <c r="Z90" s="39">
        <v>0.0</v>
      </c>
      <c r="AA90" s="39">
        <v>0.0</v>
      </c>
      <c r="AB90" s="39">
        <v>0.0</v>
      </c>
      <c r="AC90" s="39">
        <v>0.0</v>
      </c>
      <c r="AD90" s="39">
        <v>0.0</v>
      </c>
      <c r="AE90" s="39">
        <v>0.0</v>
      </c>
      <c r="AF90" s="39">
        <v>0.0</v>
      </c>
      <c r="AG90" s="39">
        <v>0.0</v>
      </c>
      <c r="AH90" s="39">
        <v>0.0</v>
      </c>
      <c r="AI90" s="39">
        <v>0.0</v>
      </c>
      <c r="AJ90" s="39">
        <v>0.0</v>
      </c>
      <c r="AK90" s="39">
        <v>0.0</v>
      </c>
      <c r="AL90" s="39">
        <v>4.6082035265E11</v>
      </c>
      <c r="AM90" s="39" t="s">
        <v>1209</v>
      </c>
      <c r="AN90" s="42">
        <v>0.09</v>
      </c>
      <c r="AO90" s="43">
        <v>3591.0</v>
      </c>
      <c r="AP90" s="39">
        <v>0.0</v>
      </c>
      <c r="AQ90" s="39">
        <v>0.0</v>
      </c>
      <c r="AR90" s="39">
        <v>0.0</v>
      </c>
      <c r="AS90" s="39">
        <v>2000.0</v>
      </c>
      <c r="AT90" s="39">
        <v>2000.0</v>
      </c>
      <c r="AU90" s="39">
        <v>0.0</v>
      </c>
      <c r="AV90" s="39">
        <v>0.0</v>
      </c>
      <c r="AW90" s="39">
        <v>0.0</v>
      </c>
      <c r="AX90" s="39">
        <v>0.0</v>
      </c>
      <c r="AY90" s="39">
        <v>0.0</v>
      </c>
      <c r="AZ90" s="39">
        <v>0.0</v>
      </c>
      <c r="BA90" s="39">
        <v>0.0</v>
      </c>
      <c r="BB90" s="39">
        <v>0.0</v>
      </c>
      <c r="BC90" s="39">
        <v>636.0</v>
      </c>
      <c r="BD90" s="39">
        <v>0.0</v>
      </c>
      <c r="BE90" s="39">
        <v>0.0</v>
      </c>
      <c r="BF90" s="39">
        <v>0.0</v>
      </c>
      <c r="BG90" s="39">
        <v>0.0</v>
      </c>
      <c r="BH90" s="39">
        <v>0.0</v>
      </c>
      <c r="BI90" s="44"/>
    </row>
    <row r="91">
      <c r="A91" s="38">
        <f t="shared" si="1"/>
        <v>45973</v>
      </c>
      <c r="B91" s="39">
        <v>90.0</v>
      </c>
      <c r="C91" s="39" t="s">
        <v>1494</v>
      </c>
      <c r="D91" s="39">
        <v>1.0</v>
      </c>
      <c r="E91" s="39">
        <v>2.652163107E9</v>
      </c>
      <c r="F91" s="39" t="s">
        <v>1204</v>
      </c>
      <c r="G91" s="39" t="s">
        <v>765</v>
      </c>
      <c r="H91" s="39" t="s">
        <v>1495</v>
      </c>
      <c r="I91" s="40">
        <v>45973.0</v>
      </c>
      <c r="J91" s="40">
        <v>45974.0</v>
      </c>
      <c r="K91" s="40">
        <v>45975.0</v>
      </c>
      <c r="L91" s="41">
        <v>45983.0</v>
      </c>
      <c r="M91" s="41">
        <v>45983.0</v>
      </c>
      <c r="N91" s="41">
        <v>45986.0</v>
      </c>
      <c r="O91" s="39">
        <v>7.996735307E9</v>
      </c>
      <c r="P91" s="39" t="s">
        <v>1416</v>
      </c>
      <c r="Q91" s="39" t="s">
        <v>1208</v>
      </c>
      <c r="R91" s="39">
        <v>1.0</v>
      </c>
      <c r="S91" s="39">
        <v>12987.0</v>
      </c>
      <c r="T91" s="39">
        <v>15000.0</v>
      </c>
      <c r="U91" s="39">
        <v>0.0</v>
      </c>
      <c r="V91" s="39">
        <v>2013.0</v>
      </c>
      <c r="W91" s="39">
        <v>12987.0</v>
      </c>
      <c r="X91" s="39">
        <v>15000.0</v>
      </c>
      <c r="Y91" s="39">
        <v>0.0</v>
      </c>
      <c r="Z91" s="39">
        <v>0.0</v>
      </c>
      <c r="AA91" s="39">
        <v>0.0</v>
      </c>
      <c r="AB91" s="39">
        <v>0.0</v>
      </c>
      <c r="AC91" s="39">
        <v>0.0</v>
      </c>
      <c r="AD91" s="39">
        <v>0.0</v>
      </c>
      <c r="AE91" s="39">
        <v>0.0</v>
      </c>
      <c r="AF91" s="39">
        <v>0.0</v>
      </c>
      <c r="AG91" s="39">
        <v>0.0</v>
      </c>
      <c r="AH91" s="39">
        <v>0.0</v>
      </c>
      <c r="AI91" s="39">
        <v>0.0</v>
      </c>
      <c r="AJ91" s="39">
        <v>0.0</v>
      </c>
      <c r="AK91" s="39">
        <v>0.0</v>
      </c>
      <c r="AL91" s="39">
        <v>4.60825024844E11</v>
      </c>
      <c r="AM91" s="39" t="s">
        <v>1209</v>
      </c>
      <c r="AN91" s="42">
        <v>0.09</v>
      </c>
      <c r="AO91" s="43">
        <v>1014.0</v>
      </c>
      <c r="AP91" s="39">
        <v>0.0</v>
      </c>
      <c r="AQ91" s="39">
        <v>0.0</v>
      </c>
      <c r="AR91" s="39">
        <v>0.0</v>
      </c>
      <c r="AS91" s="39">
        <v>420.0</v>
      </c>
      <c r="AT91" s="39">
        <v>0.0</v>
      </c>
      <c r="AU91" s="39">
        <v>420.0</v>
      </c>
      <c r="AV91" s="39">
        <v>0.0</v>
      </c>
      <c r="AW91" s="39">
        <v>0.0</v>
      </c>
      <c r="AX91" s="39">
        <v>0.0</v>
      </c>
      <c r="AY91" s="39">
        <v>0.0</v>
      </c>
      <c r="AZ91" s="39">
        <v>0.0</v>
      </c>
      <c r="BA91" s="39">
        <v>0.0</v>
      </c>
      <c r="BB91" s="39">
        <v>0.0</v>
      </c>
      <c r="BC91" s="39">
        <v>579.0</v>
      </c>
      <c r="BD91" s="39">
        <v>0.0</v>
      </c>
      <c r="BE91" s="39">
        <v>0.0</v>
      </c>
      <c r="BF91" s="39">
        <v>0.0</v>
      </c>
      <c r="BG91" s="39">
        <v>0.0</v>
      </c>
      <c r="BH91" s="39">
        <v>0.0</v>
      </c>
      <c r="BI91" s="44"/>
    </row>
    <row r="92">
      <c r="A92" s="38">
        <f t="shared" si="1"/>
        <v>45973</v>
      </c>
      <c r="B92" s="39">
        <v>91.0</v>
      </c>
      <c r="C92" s="39" t="s">
        <v>1496</v>
      </c>
      <c r="D92" s="39">
        <v>1.0</v>
      </c>
      <c r="E92" s="39">
        <v>2.652197298E9</v>
      </c>
      <c r="F92" s="39" t="s">
        <v>1204</v>
      </c>
      <c r="G92" s="39" t="s">
        <v>1497</v>
      </c>
      <c r="H92" s="39" t="s">
        <v>1498</v>
      </c>
      <c r="I92" s="40">
        <v>45973.0</v>
      </c>
      <c r="J92" s="40">
        <v>45974.0</v>
      </c>
      <c r="K92" s="40">
        <v>45975.0</v>
      </c>
      <c r="L92" s="41">
        <v>45983.0</v>
      </c>
      <c r="M92" s="41">
        <v>45983.0</v>
      </c>
      <c r="N92" s="41">
        <v>45986.0</v>
      </c>
      <c r="O92" s="39">
        <v>5.370879772E9</v>
      </c>
      <c r="P92" s="39" t="s">
        <v>1246</v>
      </c>
      <c r="Q92" s="39" t="s">
        <v>1499</v>
      </c>
      <c r="R92" s="39">
        <v>1.0</v>
      </c>
      <c r="S92" s="39">
        <v>26126.0</v>
      </c>
      <c r="T92" s="39">
        <v>33000.0</v>
      </c>
      <c r="U92" s="39">
        <v>0.0</v>
      </c>
      <c r="V92" s="39">
        <v>6874.0</v>
      </c>
      <c r="W92" s="39">
        <v>0.0</v>
      </c>
      <c r="X92" s="39">
        <v>33000.0</v>
      </c>
      <c r="Y92" s="39">
        <v>0.0</v>
      </c>
      <c r="Z92" s="39">
        <v>0.0</v>
      </c>
      <c r="AA92" s="39">
        <v>0.0</v>
      </c>
      <c r="AB92" s="39">
        <v>0.0</v>
      </c>
      <c r="AC92" s="39">
        <v>0.0</v>
      </c>
      <c r="AD92" s="39">
        <v>0.0</v>
      </c>
      <c r="AE92" s="39">
        <v>0.0</v>
      </c>
      <c r="AF92" s="39">
        <v>0.0</v>
      </c>
      <c r="AG92" s="39">
        <v>0.0</v>
      </c>
      <c r="AH92" s="39">
        <v>0.0</v>
      </c>
      <c r="AI92" s="39">
        <v>0.0</v>
      </c>
      <c r="AJ92" s="39">
        <v>0.0</v>
      </c>
      <c r="AK92" s="39">
        <v>0.0</v>
      </c>
      <c r="AL92" s="39">
        <v>4.60825024855E11</v>
      </c>
      <c r="AM92" s="39" t="s">
        <v>1209</v>
      </c>
      <c r="AN92" s="42">
        <v>0.09</v>
      </c>
      <c r="AO92" s="43">
        <v>2970.0</v>
      </c>
      <c r="AP92" s="39">
        <v>0.0</v>
      </c>
      <c r="AQ92" s="39">
        <v>0.0</v>
      </c>
      <c r="AR92" s="39">
        <v>0.0</v>
      </c>
      <c r="AS92" s="39">
        <v>2100.0</v>
      </c>
      <c r="AT92" s="39">
        <v>2100.0</v>
      </c>
      <c r="AU92" s="39">
        <v>0.0</v>
      </c>
      <c r="AV92" s="39">
        <v>0.0</v>
      </c>
      <c r="AW92" s="39">
        <v>0.0</v>
      </c>
      <c r="AX92" s="39">
        <v>0.0</v>
      </c>
      <c r="AY92" s="39">
        <v>0.0</v>
      </c>
      <c r="AZ92" s="39">
        <v>0.0</v>
      </c>
      <c r="BA92" s="39">
        <v>0.0</v>
      </c>
      <c r="BB92" s="39">
        <v>0.0</v>
      </c>
      <c r="BC92" s="39">
        <v>1804.0</v>
      </c>
      <c r="BD92" s="39">
        <v>0.0</v>
      </c>
      <c r="BE92" s="39">
        <v>0.0</v>
      </c>
      <c r="BF92" s="39">
        <v>0.0</v>
      </c>
      <c r="BG92" s="39">
        <v>0.0</v>
      </c>
      <c r="BH92" s="39">
        <v>0.0</v>
      </c>
      <c r="BI92" s="44"/>
    </row>
    <row r="93">
      <c r="A93" s="38">
        <f t="shared" si="1"/>
        <v>45973</v>
      </c>
      <c r="B93" s="39">
        <v>92.0</v>
      </c>
      <c r="C93" s="39" t="s">
        <v>1500</v>
      </c>
      <c r="D93" s="39">
        <v>1.0</v>
      </c>
      <c r="E93" s="39">
        <v>2.652261166E9</v>
      </c>
      <c r="F93" s="39" t="s">
        <v>1204</v>
      </c>
      <c r="G93" s="39" t="s">
        <v>1501</v>
      </c>
      <c r="H93" s="39" t="s">
        <v>1502</v>
      </c>
      <c r="I93" s="40">
        <v>45973.0</v>
      </c>
      <c r="J93" s="40">
        <v>45974.0</v>
      </c>
      <c r="K93" s="40">
        <v>45975.0</v>
      </c>
      <c r="L93" s="41">
        <v>45983.0</v>
      </c>
      <c r="M93" s="41">
        <v>45983.0</v>
      </c>
      <c r="N93" s="41">
        <v>45986.0</v>
      </c>
      <c r="O93" s="39">
        <v>6.422434702E9</v>
      </c>
      <c r="P93" s="39" t="s">
        <v>1223</v>
      </c>
      <c r="Q93" s="39" t="s">
        <v>1503</v>
      </c>
      <c r="R93" s="39">
        <v>1.0</v>
      </c>
      <c r="S93" s="39">
        <v>33095.0</v>
      </c>
      <c r="T93" s="39">
        <v>37900.0</v>
      </c>
      <c r="U93" s="39">
        <v>0.0</v>
      </c>
      <c r="V93" s="39">
        <v>4805.0</v>
      </c>
      <c r="W93" s="39">
        <v>0.0</v>
      </c>
      <c r="X93" s="39">
        <v>19900.0</v>
      </c>
      <c r="Y93" s="39">
        <v>18000.0</v>
      </c>
      <c r="Z93" s="39">
        <v>0.0</v>
      </c>
      <c r="AA93" s="39">
        <v>0.0</v>
      </c>
      <c r="AB93" s="39">
        <v>0.0</v>
      </c>
      <c r="AC93" s="39">
        <v>0.0</v>
      </c>
      <c r="AD93" s="39">
        <v>0.0</v>
      </c>
      <c r="AE93" s="39">
        <v>0.0</v>
      </c>
      <c r="AF93" s="39">
        <v>0.0</v>
      </c>
      <c r="AG93" s="39">
        <v>0.0</v>
      </c>
      <c r="AH93" s="39">
        <v>0.0</v>
      </c>
      <c r="AI93" s="39">
        <v>0.0</v>
      </c>
      <c r="AJ93" s="39">
        <v>0.0</v>
      </c>
      <c r="AK93" s="39">
        <v>0.0</v>
      </c>
      <c r="AL93" s="39">
        <v>4.6082502487E11</v>
      </c>
      <c r="AM93" s="39" t="s">
        <v>1209</v>
      </c>
      <c r="AN93" s="42">
        <v>0.11</v>
      </c>
      <c r="AO93" s="43">
        <v>4169.0</v>
      </c>
      <c r="AP93" s="39">
        <v>0.0</v>
      </c>
      <c r="AQ93" s="39">
        <v>0.0</v>
      </c>
      <c r="AR93" s="39">
        <v>0.0</v>
      </c>
      <c r="AS93" s="39">
        <v>0.0</v>
      </c>
      <c r="AT93" s="39">
        <v>0.0</v>
      </c>
      <c r="AU93" s="39">
        <v>0.0</v>
      </c>
      <c r="AV93" s="39">
        <v>0.0</v>
      </c>
      <c r="AW93" s="39">
        <v>0.0</v>
      </c>
      <c r="AX93" s="39">
        <v>0.0</v>
      </c>
      <c r="AY93" s="39">
        <v>0.0</v>
      </c>
      <c r="AZ93" s="39">
        <v>0.0</v>
      </c>
      <c r="BA93" s="39">
        <v>0.0</v>
      </c>
      <c r="BB93" s="39">
        <v>0.0</v>
      </c>
      <c r="BC93" s="39">
        <v>636.0</v>
      </c>
      <c r="BD93" s="39">
        <v>0.0</v>
      </c>
      <c r="BE93" s="39">
        <v>0.0</v>
      </c>
      <c r="BF93" s="39">
        <v>0.0</v>
      </c>
      <c r="BG93" s="39">
        <v>0.0</v>
      </c>
      <c r="BH93" s="39">
        <v>0.0</v>
      </c>
      <c r="BI93" s="44"/>
    </row>
    <row r="94">
      <c r="A94" s="38">
        <f t="shared" si="1"/>
        <v>45974</v>
      </c>
      <c r="B94" s="39">
        <v>93.0</v>
      </c>
      <c r="C94" s="39" t="s">
        <v>1504</v>
      </c>
      <c r="D94" s="39">
        <v>1.0</v>
      </c>
      <c r="E94" s="39">
        <v>2.652355175E9</v>
      </c>
      <c r="F94" s="39" t="s">
        <v>1204</v>
      </c>
      <c r="G94" s="39" t="s">
        <v>1505</v>
      </c>
      <c r="H94" s="39" t="s">
        <v>1506</v>
      </c>
      <c r="I94" s="40">
        <v>45974.0</v>
      </c>
      <c r="J94" s="40">
        <v>45974.0</v>
      </c>
      <c r="K94" s="40">
        <v>45975.0</v>
      </c>
      <c r="L94" s="41">
        <v>45983.0</v>
      </c>
      <c r="M94" s="41">
        <v>45983.0</v>
      </c>
      <c r="N94" s="41">
        <v>45986.0</v>
      </c>
      <c r="O94" s="39">
        <v>3.967025462E9</v>
      </c>
      <c r="P94" s="39" t="s">
        <v>1218</v>
      </c>
      <c r="Q94" s="39" t="s">
        <v>1219</v>
      </c>
      <c r="R94" s="39">
        <v>1.0</v>
      </c>
      <c r="S94" s="39">
        <v>33673.0</v>
      </c>
      <c r="T94" s="39">
        <v>39900.0</v>
      </c>
      <c r="U94" s="39">
        <v>0.0</v>
      </c>
      <c r="V94" s="39">
        <v>6227.0</v>
      </c>
      <c r="W94" s="39">
        <v>0.0</v>
      </c>
      <c r="X94" s="39">
        <v>39900.0</v>
      </c>
      <c r="Y94" s="39">
        <v>0.0</v>
      </c>
      <c r="Z94" s="39">
        <v>0.0</v>
      </c>
      <c r="AA94" s="39">
        <v>0.0</v>
      </c>
      <c r="AB94" s="39">
        <v>0.0</v>
      </c>
      <c r="AC94" s="39">
        <v>0.0</v>
      </c>
      <c r="AD94" s="39">
        <v>0.0</v>
      </c>
      <c r="AE94" s="39">
        <v>0.0</v>
      </c>
      <c r="AF94" s="39">
        <v>0.0</v>
      </c>
      <c r="AG94" s="39">
        <v>0.0</v>
      </c>
      <c r="AH94" s="39">
        <v>0.0</v>
      </c>
      <c r="AI94" s="39">
        <v>0.0</v>
      </c>
      <c r="AJ94" s="39">
        <v>0.0</v>
      </c>
      <c r="AK94" s="39">
        <v>0.0</v>
      </c>
      <c r="AL94" s="39">
        <v>4.60829901976E11</v>
      </c>
      <c r="AM94" s="39" t="s">
        <v>1209</v>
      </c>
      <c r="AN94" s="42">
        <v>0.09</v>
      </c>
      <c r="AO94" s="43">
        <v>3591.0</v>
      </c>
      <c r="AP94" s="39">
        <v>0.0</v>
      </c>
      <c r="AQ94" s="39">
        <v>0.0</v>
      </c>
      <c r="AR94" s="39">
        <v>0.0</v>
      </c>
      <c r="AS94" s="39">
        <v>2000.0</v>
      </c>
      <c r="AT94" s="39">
        <v>2000.0</v>
      </c>
      <c r="AU94" s="39">
        <v>0.0</v>
      </c>
      <c r="AV94" s="39">
        <v>0.0</v>
      </c>
      <c r="AW94" s="39">
        <v>0.0</v>
      </c>
      <c r="AX94" s="39">
        <v>0.0</v>
      </c>
      <c r="AY94" s="39">
        <v>0.0</v>
      </c>
      <c r="AZ94" s="39">
        <v>0.0</v>
      </c>
      <c r="BA94" s="39">
        <v>0.0</v>
      </c>
      <c r="BB94" s="39">
        <v>0.0</v>
      </c>
      <c r="BC94" s="39">
        <v>636.0</v>
      </c>
      <c r="BD94" s="39">
        <v>0.0</v>
      </c>
      <c r="BE94" s="39">
        <v>0.0</v>
      </c>
      <c r="BF94" s="39">
        <v>0.0</v>
      </c>
      <c r="BG94" s="39">
        <v>0.0</v>
      </c>
      <c r="BH94" s="39">
        <v>0.0</v>
      </c>
      <c r="BI94" s="44"/>
    </row>
    <row r="95">
      <c r="A95" s="38">
        <f t="shared" si="1"/>
        <v>45974</v>
      </c>
      <c r="B95" s="39">
        <v>94.0</v>
      </c>
      <c r="C95" s="39" t="s">
        <v>1507</v>
      </c>
      <c r="D95" s="39">
        <v>1.0</v>
      </c>
      <c r="E95" s="39">
        <v>2.652499896E9</v>
      </c>
      <c r="F95" s="39" t="s">
        <v>1204</v>
      </c>
      <c r="G95" s="39" t="s">
        <v>1508</v>
      </c>
      <c r="H95" s="39" t="s">
        <v>1509</v>
      </c>
      <c r="I95" s="40">
        <v>45974.0</v>
      </c>
      <c r="J95" s="40">
        <v>45975.0</v>
      </c>
      <c r="K95" s="40">
        <v>45976.0</v>
      </c>
      <c r="L95" s="41">
        <v>45984.0</v>
      </c>
      <c r="M95" s="41">
        <v>45984.0</v>
      </c>
      <c r="N95" s="41">
        <v>45986.0</v>
      </c>
      <c r="O95" s="39">
        <v>3.967025462E9</v>
      </c>
      <c r="P95" s="39" t="s">
        <v>1218</v>
      </c>
      <c r="Q95" s="39" t="s">
        <v>1219</v>
      </c>
      <c r="R95" s="39">
        <v>1.0</v>
      </c>
      <c r="S95" s="39">
        <v>34199.0</v>
      </c>
      <c r="T95" s="39">
        <v>39900.0</v>
      </c>
      <c r="U95" s="39">
        <v>0.0</v>
      </c>
      <c r="V95" s="39">
        <v>5701.0</v>
      </c>
      <c r="W95" s="39">
        <v>0.0</v>
      </c>
      <c r="X95" s="39">
        <v>39900.0</v>
      </c>
      <c r="Y95" s="39">
        <v>0.0</v>
      </c>
      <c r="Z95" s="39">
        <v>0.0</v>
      </c>
      <c r="AA95" s="39">
        <v>0.0</v>
      </c>
      <c r="AB95" s="39">
        <v>0.0</v>
      </c>
      <c r="AC95" s="39">
        <v>0.0</v>
      </c>
      <c r="AD95" s="39">
        <v>0.0</v>
      </c>
      <c r="AE95" s="39">
        <v>0.0</v>
      </c>
      <c r="AF95" s="39">
        <v>0.0</v>
      </c>
      <c r="AG95" s="39">
        <v>0.0</v>
      </c>
      <c r="AH95" s="39">
        <v>0.0</v>
      </c>
      <c r="AI95" s="39">
        <v>0.0</v>
      </c>
      <c r="AJ95" s="39">
        <v>0.0</v>
      </c>
      <c r="AK95" s="39">
        <v>0.0</v>
      </c>
      <c r="AL95" s="39">
        <v>4.60835589723E11</v>
      </c>
      <c r="AM95" s="39" t="s">
        <v>1209</v>
      </c>
      <c r="AN95" s="42">
        <v>0.09</v>
      </c>
      <c r="AO95" s="43">
        <v>3591.0</v>
      </c>
      <c r="AP95" s="39">
        <v>0.0</v>
      </c>
      <c r="AQ95" s="39">
        <v>0.0</v>
      </c>
      <c r="AR95" s="39">
        <v>0.0</v>
      </c>
      <c r="AS95" s="39">
        <v>2000.0</v>
      </c>
      <c r="AT95" s="39">
        <v>2000.0</v>
      </c>
      <c r="AU95" s="39">
        <v>0.0</v>
      </c>
      <c r="AV95" s="39">
        <v>0.0</v>
      </c>
      <c r="AW95" s="39">
        <v>0.0</v>
      </c>
      <c r="AX95" s="39">
        <v>0.0</v>
      </c>
      <c r="AY95" s="39">
        <v>0.0</v>
      </c>
      <c r="AZ95" s="39">
        <v>0.0</v>
      </c>
      <c r="BA95" s="39">
        <v>0.0</v>
      </c>
      <c r="BB95" s="39">
        <v>0.0</v>
      </c>
      <c r="BC95" s="39">
        <v>110.0</v>
      </c>
      <c r="BD95" s="39">
        <v>0.0</v>
      </c>
      <c r="BE95" s="39">
        <v>0.0</v>
      </c>
      <c r="BF95" s="39">
        <v>0.0</v>
      </c>
      <c r="BG95" s="39">
        <v>0.0</v>
      </c>
      <c r="BH95" s="39">
        <v>0.0</v>
      </c>
      <c r="BI95" s="44"/>
    </row>
    <row r="96">
      <c r="A96" s="38">
        <f t="shared" si="1"/>
        <v>45975</v>
      </c>
      <c r="B96" s="39">
        <v>95.0</v>
      </c>
      <c r="C96" s="39" t="s">
        <v>1510</v>
      </c>
      <c r="D96" s="39">
        <v>1.0</v>
      </c>
      <c r="E96" s="39">
        <v>2.65252134E9</v>
      </c>
      <c r="F96" s="39" t="s">
        <v>1204</v>
      </c>
      <c r="G96" s="39" t="s">
        <v>1511</v>
      </c>
      <c r="H96" s="39" t="s">
        <v>1512</v>
      </c>
      <c r="I96" s="40">
        <v>45975.0</v>
      </c>
      <c r="J96" s="40">
        <v>45975.0</v>
      </c>
      <c r="K96" s="40">
        <v>45976.0</v>
      </c>
      <c r="L96" s="41">
        <v>45984.0</v>
      </c>
      <c r="M96" s="41">
        <v>45984.0</v>
      </c>
      <c r="N96" s="41">
        <v>45986.0</v>
      </c>
      <c r="O96" s="39">
        <v>7.175614365E9</v>
      </c>
      <c r="P96" s="39" t="s">
        <v>1263</v>
      </c>
      <c r="Q96" s="39" t="s">
        <v>1219</v>
      </c>
      <c r="R96" s="39">
        <v>1.0</v>
      </c>
      <c r="S96" s="39">
        <v>12605.0</v>
      </c>
      <c r="T96" s="39">
        <v>15000.0</v>
      </c>
      <c r="U96" s="39">
        <v>0.0</v>
      </c>
      <c r="V96" s="39">
        <v>2395.0</v>
      </c>
      <c r="W96" s="39">
        <v>0.0</v>
      </c>
      <c r="X96" s="39">
        <v>15000.0</v>
      </c>
      <c r="Y96" s="39">
        <v>0.0</v>
      </c>
      <c r="Z96" s="39">
        <v>0.0</v>
      </c>
      <c r="AA96" s="39">
        <v>0.0</v>
      </c>
      <c r="AB96" s="39">
        <v>0.0</v>
      </c>
      <c r="AC96" s="39">
        <v>0.0</v>
      </c>
      <c r="AD96" s="39">
        <v>0.0</v>
      </c>
      <c r="AE96" s="39">
        <v>0.0</v>
      </c>
      <c r="AF96" s="39">
        <v>0.0</v>
      </c>
      <c r="AG96" s="39">
        <v>0.0</v>
      </c>
      <c r="AH96" s="39">
        <v>0.0</v>
      </c>
      <c r="AI96" s="39">
        <v>0.0</v>
      </c>
      <c r="AJ96" s="39">
        <v>0.0</v>
      </c>
      <c r="AK96" s="39">
        <v>0.0</v>
      </c>
      <c r="AL96" s="39">
        <v>4.60835589734E11</v>
      </c>
      <c r="AM96" s="39" t="s">
        <v>1209</v>
      </c>
      <c r="AN96" s="42">
        <v>0.09</v>
      </c>
      <c r="AO96" s="43">
        <v>1350.0</v>
      </c>
      <c r="AP96" s="39">
        <v>0.0</v>
      </c>
      <c r="AQ96" s="39">
        <v>0.0</v>
      </c>
      <c r="AR96" s="39">
        <v>0.0</v>
      </c>
      <c r="AS96" s="39">
        <v>0.0</v>
      </c>
      <c r="AT96" s="39">
        <v>0.0</v>
      </c>
      <c r="AU96" s="39">
        <v>0.0</v>
      </c>
      <c r="AV96" s="39">
        <v>0.0</v>
      </c>
      <c r="AW96" s="39">
        <v>0.0</v>
      </c>
      <c r="AX96" s="39">
        <v>0.0</v>
      </c>
      <c r="AY96" s="39">
        <v>0.0</v>
      </c>
      <c r="AZ96" s="39">
        <v>0.0</v>
      </c>
      <c r="BA96" s="39">
        <v>0.0</v>
      </c>
      <c r="BB96" s="39">
        <v>0.0</v>
      </c>
      <c r="BC96" s="39">
        <v>1045.0</v>
      </c>
      <c r="BD96" s="39">
        <v>0.0</v>
      </c>
      <c r="BE96" s="39">
        <v>0.0</v>
      </c>
      <c r="BF96" s="39">
        <v>0.0</v>
      </c>
      <c r="BG96" s="39">
        <v>0.0</v>
      </c>
      <c r="BH96" s="39">
        <v>0.0</v>
      </c>
      <c r="BI96" s="44"/>
    </row>
    <row r="97">
      <c r="A97" s="38">
        <f t="shared" si="1"/>
        <v>45976</v>
      </c>
      <c r="B97" s="39">
        <v>96.0</v>
      </c>
      <c r="C97" s="39" t="s">
        <v>1513</v>
      </c>
      <c r="D97" s="39">
        <v>1.0</v>
      </c>
      <c r="E97" s="39">
        <v>2.652780724E9</v>
      </c>
      <c r="F97" s="39" t="s">
        <v>1204</v>
      </c>
      <c r="G97" s="39" t="s">
        <v>1514</v>
      </c>
      <c r="H97" s="39" t="s">
        <v>1515</v>
      </c>
      <c r="I97" s="40">
        <v>45976.0</v>
      </c>
      <c r="J97" s="40">
        <v>45978.0</v>
      </c>
      <c r="K97" s="40">
        <v>45979.0</v>
      </c>
      <c r="L97" s="41">
        <v>45987.0</v>
      </c>
      <c r="M97" s="41">
        <v>45987.0</v>
      </c>
      <c r="N97" s="41">
        <v>45989.0</v>
      </c>
      <c r="O97" s="39">
        <v>6.546161396E9</v>
      </c>
      <c r="P97" s="39" t="s">
        <v>1231</v>
      </c>
      <c r="Q97" s="39" t="s">
        <v>1236</v>
      </c>
      <c r="R97" s="39">
        <v>1.0</v>
      </c>
      <c r="S97" s="39">
        <v>15390.0</v>
      </c>
      <c r="T97" s="39">
        <v>18000.0</v>
      </c>
      <c r="U97" s="39">
        <v>0.0</v>
      </c>
      <c r="V97" s="39">
        <v>2610.0</v>
      </c>
      <c r="W97" s="39">
        <v>15390.0</v>
      </c>
      <c r="X97" s="39">
        <v>18000.0</v>
      </c>
      <c r="Y97" s="39">
        <v>0.0</v>
      </c>
      <c r="Z97" s="39">
        <v>0.0</v>
      </c>
      <c r="AA97" s="39">
        <v>0.0</v>
      </c>
      <c r="AB97" s="39">
        <v>0.0</v>
      </c>
      <c r="AC97" s="39">
        <v>0.0</v>
      </c>
      <c r="AD97" s="39">
        <v>0.0</v>
      </c>
      <c r="AE97" s="39">
        <v>0.0</v>
      </c>
      <c r="AF97" s="39">
        <v>0.0</v>
      </c>
      <c r="AG97" s="39">
        <v>0.0</v>
      </c>
      <c r="AH97" s="39">
        <v>0.0</v>
      </c>
      <c r="AI97" s="39">
        <v>0.0</v>
      </c>
      <c r="AJ97" s="39">
        <v>0.0</v>
      </c>
      <c r="AK97" s="39">
        <v>0.0</v>
      </c>
      <c r="AL97" s="39">
        <v>4.60849286332E11</v>
      </c>
      <c r="AM97" s="39" t="s">
        <v>1209</v>
      </c>
      <c r="AN97" s="42">
        <v>0.11</v>
      </c>
      <c r="AO97" s="43">
        <v>1268.0</v>
      </c>
      <c r="AP97" s="39">
        <v>0.0</v>
      </c>
      <c r="AQ97" s="39">
        <v>0.0</v>
      </c>
      <c r="AR97" s="39">
        <v>0.0</v>
      </c>
      <c r="AS97" s="39">
        <v>990.0</v>
      </c>
      <c r="AT97" s="39">
        <v>100.0</v>
      </c>
      <c r="AU97" s="39">
        <v>890.0</v>
      </c>
      <c r="AV97" s="39">
        <v>0.0</v>
      </c>
      <c r="AW97" s="39">
        <v>0.0</v>
      </c>
      <c r="AX97" s="39">
        <v>0.0</v>
      </c>
      <c r="AY97" s="39">
        <v>0.0</v>
      </c>
      <c r="AZ97" s="39">
        <v>0.0</v>
      </c>
      <c r="BA97" s="39">
        <v>0.0</v>
      </c>
      <c r="BB97" s="39">
        <v>0.0</v>
      </c>
      <c r="BC97" s="39">
        <v>352.0</v>
      </c>
      <c r="BD97" s="39">
        <v>0.0</v>
      </c>
      <c r="BE97" s="39">
        <v>0.0</v>
      </c>
      <c r="BF97" s="39">
        <v>0.0</v>
      </c>
      <c r="BG97" s="39">
        <v>0.0</v>
      </c>
      <c r="BH97" s="39">
        <v>0.0</v>
      </c>
      <c r="BI97" s="44"/>
    </row>
    <row r="98">
      <c r="A98" s="38">
        <f t="shared" si="1"/>
        <v>45977</v>
      </c>
      <c r="B98" s="39">
        <v>97.0</v>
      </c>
      <c r="C98" s="39" t="s">
        <v>1516</v>
      </c>
      <c r="D98" s="39">
        <v>1.0</v>
      </c>
      <c r="E98" s="39">
        <v>2.65292891E9</v>
      </c>
      <c r="F98" s="39" t="s">
        <v>1204</v>
      </c>
      <c r="G98" s="39" t="s">
        <v>1517</v>
      </c>
      <c r="H98" s="39" t="s">
        <v>1518</v>
      </c>
      <c r="I98" s="40">
        <v>45977.0</v>
      </c>
      <c r="J98" s="40">
        <v>45978.0</v>
      </c>
      <c r="K98" s="40">
        <v>45979.0</v>
      </c>
      <c r="L98" s="41">
        <v>45987.0</v>
      </c>
      <c r="M98" s="41">
        <v>45987.0</v>
      </c>
      <c r="N98" s="41">
        <v>45989.0</v>
      </c>
      <c r="O98" s="39">
        <v>5.466907344E9</v>
      </c>
      <c r="P98" s="39" t="s">
        <v>1357</v>
      </c>
      <c r="Q98" s="39" t="s">
        <v>1358</v>
      </c>
      <c r="R98" s="39">
        <v>1.0</v>
      </c>
      <c r="S98" s="39">
        <v>59294.0</v>
      </c>
      <c r="T98" s="39">
        <v>70000.0</v>
      </c>
      <c r="U98" s="39">
        <v>0.0</v>
      </c>
      <c r="V98" s="39">
        <v>10706.0</v>
      </c>
      <c r="W98" s="39">
        <v>59294.0</v>
      </c>
      <c r="X98" s="39">
        <v>70000.0</v>
      </c>
      <c r="Y98" s="39">
        <v>0.0</v>
      </c>
      <c r="Z98" s="39">
        <v>0.0</v>
      </c>
      <c r="AA98" s="39">
        <v>0.0</v>
      </c>
      <c r="AB98" s="39">
        <v>0.0</v>
      </c>
      <c r="AC98" s="39">
        <v>0.0</v>
      </c>
      <c r="AD98" s="39">
        <v>0.0</v>
      </c>
      <c r="AE98" s="39">
        <v>0.0</v>
      </c>
      <c r="AF98" s="39">
        <v>0.0</v>
      </c>
      <c r="AG98" s="39">
        <v>0.0</v>
      </c>
      <c r="AH98" s="39">
        <v>0.0</v>
      </c>
      <c r="AI98" s="39">
        <v>0.0</v>
      </c>
      <c r="AJ98" s="39">
        <v>0.0</v>
      </c>
      <c r="AK98" s="39">
        <v>0.0</v>
      </c>
      <c r="AL98" s="39">
        <v>4.60849286343E11</v>
      </c>
      <c r="AM98" s="39" t="s">
        <v>1209</v>
      </c>
      <c r="AN98" s="42">
        <v>0.09</v>
      </c>
      <c r="AO98" s="43">
        <v>4396.0</v>
      </c>
      <c r="AP98" s="39">
        <v>0.0</v>
      </c>
      <c r="AQ98" s="39">
        <v>0.0</v>
      </c>
      <c r="AR98" s="39">
        <v>0.0</v>
      </c>
      <c r="AS98" s="39">
        <v>5380.0</v>
      </c>
      <c r="AT98" s="39">
        <v>3000.0</v>
      </c>
      <c r="AU98" s="39">
        <v>2380.0</v>
      </c>
      <c r="AV98" s="39">
        <v>0.0</v>
      </c>
      <c r="AW98" s="39">
        <v>0.0</v>
      </c>
      <c r="AX98" s="39">
        <v>0.0</v>
      </c>
      <c r="AY98" s="39">
        <v>0.0</v>
      </c>
      <c r="AZ98" s="39">
        <v>0.0</v>
      </c>
      <c r="BA98" s="39">
        <v>0.0</v>
      </c>
      <c r="BB98" s="39">
        <v>0.0</v>
      </c>
      <c r="BC98" s="39">
        <v>930.0</v>
      </c>
      <c r="BD98" s="39">
        <v>0.0</v>
      </c>
      <c r="BE98" s="39">
        <v>0.0</v>
      </c>
      <c r="BF98" s="39">
        <v>0.0</v>
      </c>
      <c r="BG98" s="39">
        <v>0.0</v>
      </c>
      <c r="BH98" s="39">
        <v>0.0</v>
      </c>
      <c r="BI98" s="44"/>
    </row>
    <row r="99">
      <c r="A99" s="38">
        <f t="shared" si="1"/>
        <v>45977</v>
      </c>
      <c r="B99" s="39">
        <v>98.0</v>
      </c>
      <c r="C99" s="39" t="s">
        <v>1519</v>
      </c>
      <c r="D99" s="39">
        <v>3.0</v>
      </c>
      <c r="E99" s="39">
        <v>2.652972299E9</v>
      </c>
      <c r="F99" s="39" t="s">
        <v>1204</v>
      </c>
      <c r="G99" s="39" t="s">
        <v>1520</v>
      </c>
      <c r="H99" s="39" t="s">
        <v>1521</v>
      </c>
      <c r="I99" s="40">
        <v>45977.0</v>
      </c>
      <c r="J99" s="40">
        <v>45978.0</v>
      </c>
      <c r="K99" s="40">
        <v>45979.0</v>
      </c>
      <c r="L99" s="41">
        <v>45987.0</v>
      </c>
      <c r="M99" s="41">
        <v>45987.0</v>
      </c>
      <c r="N99" s="41">
        <v>45989.0</v>
      </c>
      <c r="O99" s="39">
        <v>8.715578135E9</v>
      </c>
      <c r="P99" s="39" t="s">
        <v>1258</v>
      </c>
      <c r="Q99" s="39" t="s">
        <v>1259</v>
      </c>
      <c r="R99" s="39">
        <v>1.0</v>
      </c>
      <c r="S99" s="39">
        <v>92800.0</v>
      </c>
      <c r="T99" s="39">
        <v>109000.0</v>
      </c>
      <c r="U99" s="39">
        <v>0.0</v>
      </c>
      <c r="V99" s="39">
        <v>16200.0</v>
      </c>
      <c r="W99" s="39">
        <v>0.0</v>
      </c>
      <c r="X99" s="39">
        <v>109000.0</v>
      </c>
      <c r="Y99" s="39">
        <v>0.0</v>
      </c>
      <c r="Z99" s="39">
        <v>0.0</v>
      </c>
      <c r="AA99" s="39">
        <v>0.0</v>
      </c>
      <c r="AB99" s="39">
        <v>0.0</v>
      </c>
      <c r="AC99" s="39">
        <v>0.0</v>
      </c>
      <c r="AD99" s="39">
        <v>0.0</v>
      </c>
      <c r="AE99" s="39">
        <v>0.0</v>
      </c>
      <c r="AF99" s="39">
        <v>0.0</v>
      </c>
      <c r="AG99" s="39">
        <v>0.0</v>
      </c>
      <c r="AH99" s="39">
        <v>0.0</v>
      </c>
      <c r="AI99" s="39">
        <v>0.0</v>
      </c>
      <c r="AJ99" s="39">
        <v>0.0</v>
      </c>
      <c r="AK99" s="39">
        <v>0.0</v>
      </c>
      <c r="AL99" s="39">
        <v>5.40630520343E11</v>
      </c>
      <c r="AM99" s="39" t="s">
        <v>1209</v>
      </c>
      <c r="AN99" s="42">
        <v>0.09</v>
      </c>
      <c r="AO99" s="43">
        <v>5450.0</v>
      </c>
      <c r="AP99" s="39">
        <v>0.0</v>
      </c>
      <c r="AQ99" s="39">
        <v>0.0</v>
      </c>
      <c r="AR99" s="39">
        <v>0.0</v>
      </c>
      <c r="AS99" s="39">
        <v>7450.0</v>
      </c>
      <c r="AT99" s="39">
        <v>2000.0</v>
      </c>
      <c r="AU99" s="39">
        <v>5450.0</v>
      </c>
      <c r="AV99" s="39">
        <v>0.0</v>
      </c>
      <c r="AW99" s="39">
        <v>0.0</v>
      </c>
      <c r="AX99" s="39">
        <v>0.0</v>
      </c>
      <c r="AY99" s="39">
        <v>0.0</v>
      </c>
      <c r="AZ99" s="39">
        <v>0.0</v>
      </c>
      <c r="BA99" s="39">
        <v>0.0</v>
      </c>
      <c r="BB99" s="39">
        <v>0.0</v>
      </c>
      <c r="BC99" s="39">
        <v>3300.0</v>
      </c>
      <c r="BD99" s="39">
        <v>0.0</v>
      </c>
      <c r="BE99" s="39">
        <v>0.0</v>
      </c>
      <c r="BF99" s="39">
        <v>0.0</v>
      </c>
      <c r="BG99" s="39">
        <v>0.0</v>
      </c>
      <c r="BH99" s="39">
        <v>0.0</v>
      </c>
      <c r="BI99" s="44"/>
    </row>
    <row r="100">
      <c r="A100" s="38">
        <f t="shared" si="1"/>
        <v>45978</v>
      </c>
      <c r="B100" s="39">
        <v>99.0</v>
      </c>
      <c r="C100" s="39" t="s">
        <v>1522</v>
      </c>
      <c r="D100" s="39">
        <v>1.0</v>
      </c>
      <c r="E100" s="39">
        <v>2.653056305E9</v>
      </c>
      <c r="F100" s="39" t="s">
        <v>1204</v>
      </c>
      <c r="G100" s="39" t="s">
        <v>1523</v>
      </c>
      <c r="H100" s="39" t="s">
        <v>1524</v>
      </c>
      <c r="I100" s="40">
        <v>45978.0</v>
      </c>
      <c r="J100" s="40">
        <v>45978.0</v>
      </c>
      <c r="K100" s="40">
        <v>45979.0</v>
      </c>
      <c r="L100" s="41">
        <v>45980.0</v>
      </c>
      <c r="M100" s="41">
        <v>45980.0</v>
      </c>
      <c r="N100" s="41">
        <v>45982.0</v>
      </c>
      <c r="O100" s="39">
        <v>5.370879772E9</v>
      </c>
      <c r="P100" s="39" t="s">
        <v>1246</v>
      </c>
      <c r="Q100" s="39" t="s">
        <v>1247</v>
      </c>
      <c r="R100" s="39">
        <v>1.0</v>
      </c>
      <c r="S100" s="39">
        <v>27710.0</v>
      </c>
      <c r="T100" s="39">
        <v>33000.0</v>
      </c>
      <c r="U100" s="39">
        <v>0.0</v>
      </c>
      <c r="V100" s="39">
        <v>5290.0</v>
      </c>
      <c r="W100" s="39">
        <v>0.0</v>
      </c>
      <c r="X100" s="39">
        <v>33000.0</v>
      </c>
      <c r="Y100" s="39">
        <v>0.0</v>
      </c>
      <c r="Z100" s="39">
        <v>0.0</v>
      </c>
      <c r="AA100" s="39">
        <v>0.0</v>
      </c>
      <c r="AB100" s="39">
        <v>0.0</v>
      </c>
      <c r="AC100" s="39">
        <v>0.0</v>
      </c>
      <c r="AD100" s="39">
        <v>0.0</v>
      </c>
      <c r="AE100" s="39">
        <v>0.0</v>
      </c>
      <c r="AF100" s="39">
        <v>0.0</v>
      </c>
      <c r="AG100" s="39">
        <v>0.0</v>
      </c>
      <c r="AH100" s="39">
        <v>0.0</v>
      </c>
      <c r="AI100" s="39">
        <v>0.0</v>
      </c>
      <c r="AJ100" s="39">
        <v>0.0</v>
      </c>
      <c r="AK100" s="39">
        <v>0.0</v>
      </c>
      <c r="AL100" s="39">
        <v>4.60849286354E11</v>
      </c>
      <c r="AM100" s="39" t="s">
        <v>1209</v>
      </c>
      <c r="AN100" s="42">
        <v>0.09</v>
      </c>
      <c r="AO100" s="43">
        <v>2970.0</v>
      </c>
      <c r="AP100" s="39">
        <v>0.0</v>
      </c>
      <c r="AQ100" s="39">
        <v>0.0</v>
      </c>
      <c r="AR100" s="39">
        <v>0.0</v>
      </c>
      <c r="AS100" s="39">
        <v>2100.0</v>
      </c>
      <c r="AT100" s="39">
        <v>2100.0</v>
      </c>
      <c r="AU100" s="39">
        <v>0.0</v>
      </c>
      <c r="AV100" s="39">
        <v>0.0</v>
      </c>
      <c r="AW100" s="39">
        <v>0.0</v>
      </c>
      <c r="AX100" s="39">
        <v>0.0</v>
      </c>
      <c r="AY100" s="39">
        <v>0.0</v>
      </c>
      <c r="AZ100" s="39">
        <v>0.0</v>
      </c>
      <c r="BA100" s="39">
        <v>0.0</v>
      </c>
      <c r="BB100" s="39">
        <v>0.0</v>
      </c>
      <c r="BC100" s="39">
        <v>220.0</v>
      </c>
      <c r="BD100" s="39">
        <v>0.0</v>
      </c>
      <c r="BE100" s="39">
        <v>0.0</v>
      </c>
      <c r="BF100" s="39">
        <v>0.0</v>
      </c>
      <c r="BG100" s="39">
        <v>0.0</v>
      </c>
      <c r="BH100" s="39">
        <v>0.0</v>
      </c>
      <c r="BI100" s="44"/>
    </row>
    <row r="101">
      <c r="A101" s="38">
        <f t="shared" si="1"/>
        <v>45978</v>
      </c>
      <c r="B101" s="39">
        <v>100.0</v>
      </c>
      <c r="C101" s="39" t="s">
        <v>1525</v>
      </c>
      <c r="D101" s="39">
        <v>1.0</v>
      </c>
      <c r="E101" s="39">
        <v>2.653116402E9</v>
      </c>
      <c r="F101" s="39" t="s">
        <v>1204</v>
      </c>
      <c r="G101" s="39" t="s">
        <v>1435</v>
      </c>
      <c r="H101" s="39" t="s">
        <v>1526</v>
      </c>
      <c r="I101" s="40">
        <v>45978.0</v>
      </c>
      <c r="J101" s="40">
        <v>45978.0</v>
      </c>
      <c r="K101" s="40">
        <v>45979.0</v>
      </c>
      <c r="L101" s="41">
        <v>45979.0</v>
      </c>
      <c r="M101" s="41">
        <v>45979.0</v>
      </c>
      <c r="N101" s="41">
        <v>45981.0</v>
      </c>
      <c r="O101" s="39">
        <v>6.542189471E9</v>
      </c>
      <c r="P101" s="39" t="s">
        <v>1527</v>
      </c>
      <c r="Q101" s="39" t="s">
        <v>1528</v>
      </c>
      <c r="R101" s="39">
        <v>1.0</v>
      </c>
      <c r="S101" s="39">
        <v>51883.0</v>
      </c>
      <c r="T101" s="39">
        <v>64000.0</v>
      </c>
      <c r="U101" s="39">
        <v>0.0</v>
      </c>
      <c r="V101" s="39">
        <v>12117.0</v>
      </c>
      <c r="W101" s="39">
        <v>51883.0</v>
      </c>
      <c r="X101" s="39">
        <v>64000.0</v>
      </c>
      <c r="Y101" s="39">
        <v>0.0</v>
      </c>
      <c r="Z101" s="39">
        <v>0.0</v>
      </c>
      <c r="AA101" s="39">
        <v>0.0</v>
      </c>
      <c r="AB101" s="39">
        <v>0.0</v>
      </c>
      <c r="AC101" s="39">
        <v>0.0</v>
      </c>
      <c r="AD101" s="39">
        <v>0.0</v>
      </c>
      <c r="AE101" s="39">
        <v>0.0</v>
      </c>
      <c r="AF101" s="39">
        <v>0.0</v>
      </c>
      <c r="AG101" s="39">
        <v>0.0</v>
      </c>
      <c r="AH101" s="39">
        <v>0.0</v>
      </c>
      <c r="AI101" s="39">
        <v>0.0</v>
      </c>
      <c r="AJ101" s="39">
        <v>0.0</v>
      </c>
      <c r="AK101" s="39">
        <v>0.0</v>
      </c>
      <c r="AL101" s="39">
        <v>4.60859211934E11</v>
      </c>
      <c r="AM101" s="39" t="s">
        <v>1209</v>
      </c>
      <c r="AN101" s="42">
        <v>0.09</v>
      </c>
      <c r="AO101" s="43">
        <v>5760.0</v>
      </c>
      <c r="AP101" s="39">
        <v>0.0</v>
      </c>
      <c r="AQ101" s="39">
        <v>0.0</v>
      </c>
      <c r="AR101" s="39">
        <v>0.0</v>
      </c>
      <c r="AS101" s="39">
        <v>2100.0</v>
      </c>
      <c r="AT101" s="39">
        <v>2100.0</v>
      </c>
      <c r="AU101" s="39">
        <v>0.0</v>
      </c>
      <c r="AV101" s="39">
        <v>0.0</v>
      </c>
      <c r="AW101" s="39">
        <v>0.0</v>
      </c>
      <c r="AX101" s="39">
        <v>0.0</v>
      </c>
      <c r="AY101" s="39">
        <v>0.0</v>
      </c>
      <c r="AZ101" s="39">
        <v>0.0</v>
      </c>
      <c r="BA101" s="39">
        <v>0.0</v>
      </c>
      <c r="BB101" s="39">
        <v>0.0</v>
      </c>
      <c r="BC101" s="39">
        <v>4257.0</v>
      </c>
      <c r="BD101" s="39">
        <v>0.0</v>
      </c>
      <c r="BE101" s="39">
        <v>0.0</v>
      </c>
      <c r="BF101" s="39">
        <v>0.0</v>
      </c>
      <c r="BG101" s="39">
        <v>0.0</v>
      </c>
      <c r="BH101" s="39">
        <v>0.0</v>
      </c>
      <c r="BI101" s="44"/>
    </row>
    <row r="102">
      <c r="A102" s="38">
        <f t="shared" si="1"/>
        <v>45978</v>
      </c>
      <c r="B102" s="39">
        <v>101.0</v>
      </c>
      <c r="C102" s="39" t="s">
        <v>1529</v>
      </c>
      <c r="D102" s="39">
        <v>1.0</v>
      </c>
      <c r="E102" s="39">
        <v>2.653160836E9</v>
      </c>
      <c r="F102" s="39" t="s">
        <v>1204</v>
      </c>
      <c r="G102" s="39" t="s">
        <v>1530</v>
      </c>
      <c r="H102" s="39" t="s">
        <v>1531</v>
      </c>
      <c r="I102" s="40">
        <v>45978.0</v>
      </c>
      <c r="J102" s="40">
        <v>45978.0</v>
      </c>
      <c r="K102" s="40">
        <v>45979.0</v>
      </c>
      <c r="L102" s="41">
        <v>45987.0</v>
      </c>
      <c r="M102" s="41">
        <v>45987.0</v>
      </c>
      <c r="N102" s="41">
        <v>45989.0</v>
      </c>
      <c r="O102" s="39">
        <v>6.422434702E9</v>
      </c>
      <c r="P102" s="39" t="s">
        <v>1223</v>
      </c>
      <c r="Q102" s="39" t="s">
        <v>1224</v>
      </c>
      <c r="R102" s="39">
        <v>1.0</v>
      </c>
      <c r="S102" s="39">
        <v>16512.0</v>
      </c>
      <c r="T102" s="39">
        <v>19900.0</v>
      </c>
      <c r="U102" s="39">
        <v>0.0</v>
      </c>
      <c r="V102" s="39">
        <v>3388.0</v>
      </c>
      <c r="W102" s="39">
        <v>0.0</v>
      </c>
      <c r="X102" s="39">
        <v>19900.0</v>
      </c>
      <c r="Y102" s="39">
        <v>0.0</v>
      </c>
      <c r="Z102" s="39">
        <v>0.0</v>
      </c>
      <c r="AA102" s="39">
        <v>0.0</v>
      </c>
      <c r="AB102" s="39">
        <v>0.0</v>
      </c>
      <c r="AC102" s="39">
        <v>0.0</v>
      </c>
      <c r="AD102" s="39">
        <v>0.0</v>
      </c>
      <c r="AE102" s="39">
        <v>0.0</v>
      </c>
      <c r="AF102" s="39">
        <v>0.0</v>
      </c>
      <c r="AG102" s="39">
        <v>0.0</v>
      </c>
      <c r="AH102" s="39">
        <v>0.0</v>
      </c>
      <c r="AI102" s="39">
        <v>0.0</v>
      </c>
      <c r="AJ102" s="39">
        <v>0.0</v>
      </c>
      <c r="AK102" s="39">
        <v>0.0</v>
      </c>
      <c r="AL102" s="39">
        <v>4.6086095944E11</v>
      </c>
      <c r="AM102" s="39" t="s">
        <v>1209</v>
      </c>
      <c r="AN102" s="42">
        <v>0.11</v>
      </c>
      <c r="AO102" s="43">
        <v>2189.0</v>
      </c>
      <c r="AP102" s="39">
        <v>0.0</v>
      </c>
      <c r="AQ102" s="39">
        <v>0.0</v>
      </c>
      <c r="AR102" s="39">
        <v>0.0</v>
      </c>
      <c r="AS102" s="39">
        <v>0.0</v>
      </c>
      <c r="AT102" s="39">
        <v>0.0</v>
      </c>
      <c r="AU102" s="39">
        <v>0.0</v>
      </c>
      <c r="AV102" s="39">
        <v>0.0</v>
      </c>
      <c r="AW102" s="39">
        <v>0.0</v>
      </c>
      <c r="AX102" s="39">
        <v>0.0</v>
      </c>
      <c r="AY102" s="39">
        <v>0.0</v>
      </c>
      <c r="AZ102" s="39">
        <v>0.0</v>
      </c>
      <c r="BA102" s="39">
        <v>0.0</v>
      </c>
      <c r="BB102" s="39">
        <v>0.0</v>
      </c>
      <c r="BC102" s="39">
        <v>1199.0</v>
      </c>
      <c r="BD102" s="39">
        <v>0.0</v>
      </c>
      <c r="BE102" s="39">
        <v>0.0</v>
      </c>
      <c r="BF102" s="39">
        <v>0.0</v>
      </c>
      <c r="BG102" s="39">
        <v>0.0</v>
      </c>
      <c r="BH102" s="39">
        <v>0.0</v>
      </c>
      <c r="BI102" s="44"/>
    </row>
    <row r="103">
      <c r="A103" s="38">
        <f t="shared" si="1"/>
        <v>45978</v>
      </c>
      <c r="B103" s="39">
        <v>102.0</v>
      </c>
      <c r="C103" s="39">
        <v>2.02511170153648E16</v>
      </c>
      <c r="D103" s="39">
        <v>1.0</v>
      </c>
      <c r="E103" s="39">
        <v>2.653172485E9</v>
      </c>
      <c r="F103" s="39" t="s">
        <v>1204</v>
      </c>
      <c r="G103" s="39" t="s">
        <v>1532</v>
      </c>
      <c r="H103" s="39" t="s">
        <v>1533</v>
      </c>
      <c r="I103" s="40">
        <v>45978.0</v>
      </c>
      <c r="J103" s="40">
        <v>45978.0</v>
      </c>
      <c r="K103" s="40">
        <v>45979.0</v>
      </c>
      <c r="L103" s="41">
        <v>45987.0</v>
      </c>
      <c r="M103" s="41">
        <v>45987.0</v>
      </c>
      <c r="N103" s="41">
        <v>45989.0</v>
      </c>
      <c r="O103" s="39">
        <v>6.031873213E9</v>
      </c>
      <c r="P103" s="39" t="s">
        <v>1374</v>
      </c>
      <c r="Q103" s="39" t="s">
        <v>1375</v>
      </c>
      <c r="R103" s="39">
        <v>1.0</v>
      </c>
      <c r="S103" s="39">
        <v>23888.0</v>
      </c>
      <c r="T103" s="39">
        <v>30000.0</v>
      </c>
      <c r="U103" s="39">
        <v>0.0</v>
      </c>
      <c r="V103" s="39">
        <v>6112.0</v>
      </c>
      <c r="W103" s="39">
        <v>0.0</v>
      </c>
      <c r="X103" s="39">
        <v>30000.0</v>
      </c>
      <c r="Y103" s="39">
        <v>0.0</v>
      </c>
      <c r="Z103" s="39">
        <v>0.0</v>
      </c>
      <c r="AA103" s="39">
        <v>0.0</v>
      </c>
      <c r="AB103" s="39">
        <v>0.0</v>
      </c>
      <c r="AC103" s="39">
        <v>0.0</v>
      </c>
      <c r="AD103" s="39">
        <v>0.0</v>
      </c>
      <c r="AE103" s="39">
        <v>0.0</v>
      </c>
      <c r="AF103" s="39">
        <v>0.0</v>
      </c>
      <c r="AG103" s="39">
        <v>0.0</v>
      </c>
      <c r="AH103" s="39">
        <v>0.0</v>
      </c>
      <c r="AI103" s="39">
        <v>0.0</v>
      </c>
      <c r="AJ103" s="39">
        <v>0.0</v>
      </c>
      <c r="AK103" s="39">
        <v>0.0</v>
      </c>
      <c r="AL103" s="39">
        <v>4.60860959451E11</v>
      </c>
      <c r="AM103" s="39" t="s">
        <v>1209</v>
      </c>
      <c r="AN103" s="42">
        <v>0.13</v>
      </c>
      <c r="AO103" s="43">
        <v>3892.0</v>
      </c>
      <c r="AP103" s="39">
        <v>0.0</v>
      </c>
      <c r="AQ103" s="39">
        <v>0.0</v>
      </c>
      <c r="AR103" s="39">
        <v>0.0</v>
      </c>
      <c r="AS103" s="39">
        <v>2110.0</v>
      </c>
      <c r="AT103" s="39">
        <v>2100.0</v>
      </c>
      <c r="AU103" s="39">
        <v>10.0</v>
      </c>
      <c r="AV103" s="39">
        <v>0.0</v>
      </c>
      <c r="AW103" s="39">
        <v>0.0</v>
      </c>
      <c r="AX103" s="39">
        <v>0.0</v>
      </c>
      <c r="AY103" s="39">
        <v>0.0</v>
      </c>
      <c r="AZ103" s="39">
        <v>0.0</v>
      </c>
      <c r="BA103" s="39">
        <v>0.0</v>
      </c>
      <c r="BB103" s="39">
        <v>0.0</v>
      </c>
      <c r="BC103" s="39">
        <v>110.0</v>
      </c>
      <c r="BD103" s="39">
        <v>0.0</v>
      </c>
      <c r="BE103" s="39">
        <v>0.0</v>
      </c>
      <c r="BF103" s="39">
        <v>0.0</v>
      </c>
      <c r="BG103" s="39">
        <v>0.0</v>
      </c>
      <c r="BH103" s="39">
        <v>0.0</v>
      </c>
      <c r="BI103" s="44"/>
    </row>
    <row r="104">
      <c r="A104" s="38">
        <f t="shared" si="1"/>
        <v>45978</v>
      </c>
      <c r="B104" s="39">
        <v>103.0</v>
      </c>
      <c r="C104" s="39" t="s">
        <v>1534</v>
      </c>
      <c r="D104" s="39">
        <v>1.0</v>
      </c>
      <c r="E104" s="39">
        <v>2.653261166E9</v>
      </c>
      <c r="F104" s="39" t="s">
        <v>1204</v>
      </c>
      <c r="G104" s="39" t="s">
        <v>1535</v>
      </c>
      <c r="H104" s="39" t="s">
        <v>1536</v>
      </c>
      <c r="I104" s="40">
        <v>45978.0</v>
      </c>
      <c r="J104" s="40">
        <v>45979.0</v>
      </c>
      <c r="K104" s="40">
        <v>45980.0</v>
      </c>
      <c r="L104" s="41">
        <v>45988.0</v>
      </c>
      <c r="M104" s="41">
        <v>45988.0</v>
      </c>
      <c r="N104" s="41">
        <v>45992.0</v>
      </c>
      <c r="O104" s="39">
        <v>6.542189471E9</v>
      </c>
      <c r="P104" s="39" t="s">
        <v>1527</v>
      </c>
      <c r="Q104" s="39" t="s">
        <v>1528</v>
      </c>
      <c r="R104" s="39">
        <v>1.0</v>
      </c>
      <c r="S104" s="39">
        <v>54583.0</v>
      </c>
      <c r="T104" s="39">
        <v>64000.0</v>
      </c>
      <c r="U104" s="39">
        <v>0.0</v>
      </c>
      <c r="V104" s="39">
        <v>9417.0</v>
      </c>
      <c r="W104" s="39">
        <v>54583.0</v>
      </c>
      <c r="X104" s="39">
        <v>64000.0</v>
      </c>
      <c r="Y104" s="39">
        <v>0.0</v>
      </c>
      <c r="Z104" s="39">
        <v>0.0</v>
      </c>
      <c r="AA104" s="39">
        <v>0.0</v>
      </c>
      <c r="AB104" s="39">
        <v>0.0</v>
      </c>
      <c r="AC104" s="39">
        <v>0.0</v>
      </c>
      <c r="AD104" s="39">
        <v>0.0</v>
      </c>
      <c r="AE104" s="39">
        <v>0.0</v>
      </c>
      <c r="AF104" s="39">
        <v>0.0</v>
      </c>
      <c r="AG104" s="39">
        <v>0.0</v>
      </c>
      <c r="AH104" s="39">
        <v>0.0</v>
      </c>
      <c r="AI104" s="39">
        <v>0.0</v>
      </c>
      <c r="AJ104" s="39">
        <v>0.0</v>
      </c>
      <c r="AK104" s="39">
        <v>0.0</v>
      </c>
      <c r="AL104" s="39">
        <v>4.60865251453E11</v>
      </c>
      <c r="AM104" s="39" t="s">
        <v>1209</v>
      </c>
      <c r="AN104" s="42">
        <v>0.09</v>
      </c>
      <c r="AO104" s="43">
        <v>3360.0</v>
      </c>
      <c r="AP104" s="39">
        <v>0.0</v>
      </c>
      <c r="AQ104" s="39">
        <v>0.0</v>
      </c>
      <c r="AR104" s="39">
        <v>0.0</v>
      </c>
      <c r="AS104" s="39">
        <v>5100.0</v>
      </c>
      <c r="AT104" s="39">
        <v>2100.0</v>
      </c>
      <c r="AU104" s="39">
        <v>3000.0</v>
      </c>
      <c r="AV104" s="39">
        <v>0.0</v>
      </c>
      <c r="AW104" s="39">
        <v>0.0</v>
      </c>
      <c r="AX104" s="39">
        <v>0.0</v>
      </c>
      <c r="AY104" s="39">
        <v>0.0</v>
      </c>
      <c r="AZ104" s="39">
        <v>0.0</v>
      </c>
      <c r="BA104" s="39">
        <v>0.0</v>
      </c>
      <c r="BB104" s="39">
        <v>0.0</v>
      </c>
      <c r="BC104" s="39">
        <v>957.0</v>
      </c>
      <c r="BD104" s="39">
        <v>0.0</v>
      </c>
      <c r="BE104" s="39">
        <v>0.0</v>
      </c>
      <c r="BF104" s="39">
        <v>0.0</v>
      </c>
      <c r="BG104" s="39">
        <v>0.0</v>
      </c>
      <c r="BH104" s="39">
        <v>0.0</v>
      </c>
      <c r="BI104" s="44"/>
    </row>
    <row r="105">
      <c r="A105" s="38">
        <f t="shared" si="1"/>
        <v>45978</v>
      </c>
      <c r="B105" s="39">
        <v>104.0</v>
      </c>
      <c r="C105" s="39" t="s">
        <v>1537</v>
      </c>
      <c r="D105" s="39">
        <v>1.0</v>
      </c>
      <c r="E105" s="39">
        <v>2.65328351E9</v>
      </c>
      <c r="F105" s="39" t="s">
        <v>1204</v>
      </c>
      <c r="G105" s="39" t="s">
        <v>1538</v>
      </c>
      <c r="H105" s="39" t="s">
        <v>1539</v>
      </c>
      <c r="I105" s="40">
        <v>45978.0</v>
      </c>
      <c r="J105" s="40">
        <v>45979.0</v>
      </c>
      <c r="K105" s="40">
        <v>45980.0</v>
      </c>
      <c r="L105" s="41">
        <v>45988.0</v>
      </c>
      <c r="M105" s="41">
        <v>45988.0</v>
      </c>
      <c r="N105" s="41">
        <v>45992.0</v>
      </c>
      <c r="O105" s="39">
        <v>8.627718957E9</v>
      </c>
      <c r="P105" s="39" t="s">
        <v>1540</v>
      </c>
      <c r="Q105" s="39" t="s">
        <v>1219</v>
      </c>
      <c r="R105" s="39">
        <v>1.0</v>
      </c>
      <c r="S105" s="39">
        <v>27820.0</v>
      </c>
      <c r="T105" s="39">
        <v>33000.0</v>
      </c>
      <c r="U105" s="39">
        <v>0.0</v>
      </c>
      <c r="V105" s="39">
        <v>5180.0</v>
      </c>
      <c r="W105" s="39">
        <v>27820.0</v>
      </c>
      <c r="X105" s="39">
        <v>33000.0</v>
      </c>
      <c r="Y105" s="39">
        <v>0.0</v>
      </c>
      <c r="Z105" s="39">
        <v>0.0</v>
      </c>
      <c r="AA105" s="39">
        <v>0.0</v>
      </c>
      <c r="AB105" s="39">
        <v>0.0</v>
      </c>
      <c r="AC105" s="39">
        <v>0.0</v>
      </c>
      <c r="AD105" s="39">
        <v>0.0</v>
      </c>
      <c r="AE105" s="39">
        <v>0.0</v>
      </c>
      <c r="AF105" s="39">
        <v>0.0</v>
      </c>
      <c r="AG105" s="39">
        <v>0.0</v>
      </c>
      <c r="AH105" s="39">
        <v>0.0</v>
      </c>
      <c r="AI105" s="39">
        <v>0.0</v>
      </c>
      <c r="AJ105" s="39">
        <v>0.0</v>
      </c>
      <c r="AK105" s="39">
        <v>0.0</v>
      </c>
      <c r="AL105" s="39">
        <v>4.60865251464E11</v>
      </c>
      <c r="AM105" s="39" t="s">
        <v>1209</v>
      </c>
      <c r="AN105" s="42">
        <v>0.09</v>
      </c>
      <c r="AO105" s="43">
        <v>2970.0</v>
      </c>
      <c r="AP105" s="39">
        <v>0.0</v>
      </c>
      <c r="AQ105" s="39">
        <v>0.0</v>
      </c>
      <c r="AR105" s="39">
        <v>0.0</v>
      </c>
      <c r="AS105" s="39">
        <v>2100.0</v>
      </c>
      <c r="AT105" s="39">
        <v>2100.0</v>
      </c>
      <c r="AU105" s="39">
        <v>0.0</v>
      </c>
      <c r="AV105" s="39">
        <v>0.0</v>
      </c>
      <c r="AW105" s="39">
        <v>0.0</v>
      </c>
      <c r="AX105" s="39">
        <v>0.0</v>
      </c>
      <c r="AY105" s="39">
        <v>0.0</v>
      </c>
      <c r="AZ105" s="39">
        <v>0.0</v>
      </c>
      <c r="BA105" s="39">
        <v>0.0</v>
      </c>
      <c r="BB105" s="39">
        <v>0.0</v>
      </c>
      <c r="BC105" s="39">
        <v>110.0</v>
      </c>
      <c r="BD105" s="39">
        <v>0.0</v>
      </c>
      <c r="BE105" s="39">
        <v>0.0</v>
      </c>
      <c r="BF105" s="39">
        <v>0.0</v>
      </c>
      <c r="BG105" s="39">
        <v>0.0</v>
      </c>
      <c r="BH105" s="39">
        <v>0.0</v>
      </c>
      <c r="BI105" s="44"/>
    </row>
    <row r="106">
      <c r="A106" s="38">
        <f t="shared" si="1"/>
        <v>45979</v>
      </c>
      <c r="B106" s="39">
        <v>105.0</v>
      </c>
      <c r="C106" s="39" t="s">
        <v>1541</v>
      </c>
      <c r="D106" s="39">
        <v>1.0</v>
      </c>
      <c r="E106" s="39">
        <v>2.653304183E9</v>
      </c>
      <c r="F106" s="39" t="s">
        <v>1204</v>
      </c>
      <c r="G106" s="39" t="s">
        <v>1542</v>
      </c>
      <c r="H106" s="39" t="s">
        <v>1543</v>
      </c>
      <c r="I106" s="40">
        <v>45979.0</v>
      </c>
      <c r="J106" s="40">
        <v>45979.0</v>
      </c>
      <c r="K106" s="40">
        <v>45980.0</v>
      </c>
      <c r="L106" s="41">
        <v>45980.0</v>
      </c>
      <c r="M106" s="41">
        <v>45980.0</v>
      </c>
      <c r="N106" s="41">
        <v>45982.0</v>
      </c>
      <c r="O106" s="39">
        <v>8.715578135E9</v>
      </c>
      <c r="P106" s="39" t="s">
        <v>1258</v>
      </c>
      <c r="Q106" s="39" t="s">
        <v>1259</v>
      </c>
      <c r="R106" s="39">
        <v>1.0</v>
      </c>
      <c r="S106" s="39">
        <v>91717.0</v>
      </c>
      <c r="T106" s="39">
        <v>109000.0</v>
      </c>
      <c r="U106" s="39">
        <v>0.0</v>
      </c>
      <c r="V106" s="39">
        <v>17283.0</v>
      </c>
      <c r="W106" s="39">
        <v>0.0</v>
      </c>
      <c r="X106" s="39">
        <v>109000.0</v>
      </c>
      <c r="Y106" s="39">
        <v>0.0</v>
      </c>
      <c r="Z106" s="39">
        <v>0.0</v>
      </c>
      <c r="AA106" s="39">
        <v>0.0</v>
      </c>
      <c r="AB106" s="39">
        <v>0.0</v>
      </c>
      <c r="AC106" s="39">
        <v>0.0</v>
      </c>
      <c r="AD106" s="39">
        <v>0.0</v>
      </c>
      <c r="AE106" s="39">
        <v>0.0</v>
      </c>
      <c r="AF106" s="39">
        <v>0.0</v>
      </c>
      <c r="AG106" s="39">
        <v>0.0</v>
      </c>
      <c r="AH106" s="39">
        <v>0.0</v>
      </c>
      <c r="AI106" s="39">
        <v>0.0</v>
      </c>
      <c r="AJ106" s="39">
        <v>0.0</v>
      </c>
      <c r="AK106" s="39">
        <v>0.0</v>
      </c>
      <c r="AL106" s="39">
        <v>5.4063207592E11</v>
      </c>
      <c r="AM106" s="39" t="s">
        <v>1209</v>
      </c>
      <c r="AN106" s="42">
        <v>0.09</v>
      </c>
      <c r="AO106" s="43">
        <v>5450.0</v>
      </c>
      <c r="AP106" s="39">
        <v>0.0</v>
      </c>
      <c r="AQ106" s="39">
        <v>0.0</v>
      </c>
      <c r="AR106" s="39">
        <v>0.0</v>
      </c>
      <c r="AS106" s="39">
        <v>7450.0</v>
      </c>
      <c r="AT106" s="39">
        <v>2000.0</v>
      </c>
      <c r="AU106" s="39">
        <v>5450.0</v>
      </c>
      <c r="AV106" s="39">
        <v>0.0</v>
      </c>
      <c r="AW106" s="39">
        <v>0.0</v>
      </c>
      <c r="AX106" s="39">
        <v>0.0</v>
      </c>
      <c r="AY106" s="39">
        <v>0.0</v>
      </c>
      <c r="AZ106" s="39">
        <v>0.0</v>
      </c>
      <c r="BA106" s="39">
        <v>0.0</v>
      </c>
      <c r="BB106" s="39">
        <v>0.0</v>
      </c>
      <c r="BC106" s="39">
        <v>4383.0</v>
      </c>
      <c r="BD106" s="39">
        <v>0.0</v>
      </c>
      <c r="BE106" s="39">
        <v>0.0</v>
      </c>
      <c r="BF106" s="39">
        <v>0.0</v>
      </c>
      <c r="BG106" s="39">
        <v>0.0</v>
      </c>
      <c r="BH106" s="39">
        <v>0.0</v>
      </c>
      <c r="BI106" s="44"/>
    </row>
    <row r="107">
      <c r="A107" s="38">
        <f t="shared" si="1"/>
        <v>45979</v>
      </c>
      <c r="B107" s="39">
        <v>106.0</v>
      </c>
      <c r="C107" s="39" t="s">
        <v>1544</v>
      </c>
      <c r="D107" s="39">
        <v>1.0</v>
      </c>
      <c r="E107" s="39">
        <v>2.65331246E9</v>
      </c>
      <c r="F107" s="39" t="s">
        <v>1204</v>
      </c>
      <c r="G107" s="39" t="s">
        <v>1545</v>
      </c>
      <c r="H107" s="39" t="s">
        <v>1546</v>
      </c>
      <c r="I107" s="40">
        <v>45979.0</v>
      </c>
      <c r="J107" s="40">
        <v>45979.0</v>
      </c>
      <c r="K107" s="40">
        <v>45980.0</v>
      </c>
      <c r="L107" s="41">
        <v>45985.0</v>
      </c>
      <c r="M107" s="41">
        <v>45985.0</v>
      </c>
      <c r="N107" s="45">
        <v>45987.0</v>
      </c>
      <c r="O107" s="39">
        <v>7.175614365E9</v>
      </c>
      <c r="P107" s="39" t="s">
        <v>1263</v>
      </c>
      <c r="Q107" s="39" t="s">
        <v>1547</v>
      </c>
      <c r="R107" s="39">
        <v>2.0</v>
      </c>
      <c r="S107" s="39">
        <v>18708.0</v>
      </c>
      <c r="T107" s="39">
        <v>30000.0</v>
      </c>
      <c r="U107" s="39">
        <v>0.0</v>
      </c>
      <c r="V107" s="39">
        <v>11292.0</v>
      </c>
      <c r="W107" s="39">
        <v>0.0</v>
      </c>
      <c r="X107" s="39">
        <v>30000.0</v>
      </c>
      <c r="Y107" s="39">
        <v>0.0</v>
      </c>
      <c r="Z107" s="39">
        <v>0.0</v>
      </c>
      <c r="AA107" s="39">
        <v>0.0</v>
      </c>
      <c r="AB107" s="39">
        <v>0.0</v>
      </c>
      <c r="AC107" s="39">
        <v>0.0</v>
      </c>
      <c r="AD107" s="39">
        <v>0.0</v>
      </c>
      <c r="AE107" s="39">
        <v>0.0</v>
      </c>
      <c r="AF107" s="39">
        <v>0.0</v>
      </c>
      <c r="AG107" s="39">
        <v>0.0</v>
      </c>
      <c r="AH107" s="39">
        <v>0.0</v>
      </c>
      <c r="AI107" s="39">
        <v>0.0</v>
      </c>
      <c r="AJ107" s="39">
        <v>0.0</v>
      </c>
      <c r="AK107" s="39">
        <v>0.0</v>
      </c>
      <c r="AL107" s="39">
        <v>4.60865251475E11</v>
      </c>
      <c r="AM107" s="39" t="s">
        <v>1209</v>
      </c>
      <c r="AN107" s="42">
        <v>0.09</v>
      </c>
      <c r="AO107" s="43">
        <v>2700.0</v>
      </c>
      <c r="AP107" s="39">
        <v>0.0</v>
      </c>
      <c r="AQ107" s="39">
        <v>0.0</v>
      </c>
      <c r="AR107" s="39">
        <v>0.0</v>
      </c>
      <c r="AS107" s="39">
        <v>2000.0</v>
      </c>
      <c r="AT107" s="39">
        <v>2000.0</v>
      </c>
      <c r="AU107" s="39">
        <v>0.0</v>
      </c>
      <c r="AV107" s="39">
        <v>0.0</v>
      </c>
      <c r="AW107" s="39">
        <v>3000.0</v>
      </c>
      <c r="AX107" s="39">
        <v>0.0</v>
      </c>
      <c r="AY107" s="39">
        <v>0.0</v>
      </c>
      <c r="AZ107" s="39">
        <v>0.0</v>
      </c>
      <c r="BA107" s="39">
        <v>0.0</v>
      </c>
      <c r="BB107" s="39">
        <v>0.0</v>
      </c>
      <c r="BC107" s="39">
        <v>3592.0</v>
      </c>
      <c r="BD107" s="39">
        <v>0.0</v>
      </c>
      <c r="BE107" s="39">
        <v>0.0</v>
      </c>
      <c r="BF107" s="39">
        <v>0.0</v>
      </c>
      <c r="BG107" s="39">
        <v>0.0</v>
      </c>
      <c r="BH107" s="39">
        <v>0.0</v>
      </c>
      <c r="BI107" s="44"/>
    </row>
    <row r="108">
      <c r="A108" s="38">
        <f t="shared" si="1"/>
        <v>45979</v>
      </c>
      <c r="B108" s="39">
        <v>107.0</v>
      </c>
      <c r="C108" s="39" t="s">
        <v>1548</v>
      </c>
      <c r="D108" s="39">
        <v>1.0</v>
      </c>
      <c r="E108" s="39">
        <v>2.653336906E9</v>
      </c>
      <c r="F108" s="39" t="s">
        <v>1204</v>
      </c>
      <c r="G108" s="39" t="s">
        <v>1549</v>
      </c>
      <c r="H108" s="39" t="s">
        <v>1550</v>
      </c>
      <c r="I108" s="40">
        <v>45979.0</v>
      </c>
      <c r="J108" s="40">
        <v>45979.0</v>
      </c>
      <c r="K108" s="40">
        <v>45980.0</v>
      </c>
      <c r="L108" s="41">
        <v>45988.0</v>
      </c>
      <c r="M108" s="41">
        <v>45988.0</v>
      </c>
      <c r="N108" s="45">
        <v>45992.0</v>
      </c>
      <c r="O108" s="39">
        <v>8.718794512E9</v>
      </c>
      <c r="P108" s="39" t="s">
        <v>1551</v>
      </c>
      <c r="Q108" s="39" t="s">
        <v>1259</v>
      </c>
      <c r="R108" s="39">
        <v>1.0</v>
      </c>
      <c r="S108" s="39">
        <v>129950.0</v>
      </c>
      <c r="T108" s="39">
        <v>145000.0</v>
      </c>
      <c r="U108" s="39">
        <v>0.0</v>
      </c>
      <c r="V108" s="39">
        <v>15050.0</v>
      </c>
      <c r="W108" s="39">
        <v>0.0</v>
      </c>
      <c r="X108" s="39">
        <v>145000.0</v>
      </c>
      <c r="Y108" s="39">
        <v>0.0</v>
      </c>
      <c r="Z108" s="39">
        <v>0.0</v>
      </c>
      <c r="AA108" s="39">
        <v>0.0</v>
      </c>
      <c r="AB108" s="39">
        <v>0.0</v>
      </c>
      <c r="AC108" s="39">
        <v>0.0</v>
      </c>
      <c r="AD108" s="39">
        <v>0.0</v>
      </c>
      <c r="AE108" s="39">
        <v>0.0</v>
      </c>
      <c r="AF108" s="39">
        <v>0.0</v>
      </c>
      <c r="AG108" s="39">
        <v>0.0</v>
      </c>
      <c r="AH108" s="39">
        <v>0.0</v>
      </c>
      <c r="AI108" s="39">
        <v>0.0</v>
      </c>
      <c r="AJ108" s="39">
        <v>0.0</v>
      </c>
      <c r="AK108" s="39">
        <v>0.0</v>
      </c>
      <c r="AL108" s="39">
        <v>5.40632075894E11</v>
      </c>
      <c r="AM108" s="39" t="s">
        <v>1209</v>
      </c>
      <c r="AN108" s="42">
        <v>0.09</v>
      </c>
      <c r="AO108" s="43">
        <v>13050.0</v>
      </c>
      <c r="AP108" s="39">
        <v>0.0</v>
      </c>
      <c r="AQ108" s="39">
        <v>0.0</v>
      </c>
      <c r="AR108" s="39">
        <v>0.0</v>
      </c>
      <c r="AS108" s="39">
        <v>2000.0</v>
      </c>
      <c r="AT108" s="39">
        <v>2000.0</v>
      </c>
      <c r="AU108" s="39">
        <v>0.0</v>
      </c>
      <c r="AV108" s="39">
        <v>0.0</v>
      </c>
      <c r="AW108" s="39">
        <v>0.0</v>
      </c>
      <c r="AX108" s="39">
        <v>0.0</v>
      </c>
      <c r="AY108" s="39">
        <v>0.0</v>
      </c>
      <c r="AZ108" s="39">
        <v>0.0</v>
      </c>
      <c r="BA108" s="39">
        <v>0.0</v>
      </c>
      <c r="BB108" s="39">
        <v>0.0</v>
      </c>
      <c r="BC108" s="39">
        <v>0.0</v>
      </c>
      <c r="BD108" s="39">
        <v>0.0</v>
      </c>
      <c r="BE108" s="39">
        <v>0.0</v>
      </c>
      <c r="BF108" s="39">
        <v>0.0</v>
      </c>
      <c r="BG108" s="39">
        <v>0.0</v>
      </c>
      <c r="BH108" s="39">
        <v>0.0</v>
      </c>
      <c r="BI108" s="44"/>
    </row>
    <row r="109">
      <c r="A109" s="38">
        <f t="shared" si="1"/>
        <v>45979</v>
      </c>
      <c r="B109" s="39">
        <v>108.0</v>
      </c>
      <c r="C109" s="39" t="s">
        <v>1552</v>
      </c>
      <c r="D109" s="39">
        <v>6.0</v>
      </c>
      <c r="E109" s="39">
        <v>2.653394173E9</v>
      </c>
      <c r="F109" s="39" t="s">
        <v>1204</v>
      </c>
      <c r="G109" s="39" t="s">
        <v>1553</v>
      </c>
      <c r="H109" s="39" t="s">
        <v>1554</v>
      </c>
      <c r="I109" s="40">
        <v>45979.0</v>
      </c>
      <c r="J109" s="40">
        <v>45979.0</v>
      </c>
      <c r="K109" s="40">
        <v>45980.0</v>
      </c>
      <c r="L109" s="41">
        <v>45988.0</v>
      </c>
      <c r="M109" s="41">
        <v>45988.0</v>
      </c>
      <c r="N109" s="45">
        <v>45992.0</v>
      </c>
      <c r="O109" s="39">
        <v>2.295956958E9</v>
      </c>
      <c r="P109" s="39" t="s">
        <v>1555</v>
      </c>
      <c r="Q109" s="39" t="s">
        <v>1556</v>
      </c>
      <c r="R109" s="39">
        <v>1.0</v>
      </c>
      <c r="S109" s="39">
        <v>15201.0</v>
      </c>
      <c r="T109" s="39">
        <v>19900.0</v>
      </c>
      <c r="U109" s="39">
        <v>0.0</v>
      </c>
      <c r="V109" s="39">
        <v>4699.0</v>
      </c>
      <c r="W109" s="39">
        <v>0.0</v>
      </c>
      <c r="X109" s="39">
        <v>19900.0</v>
      </c>
      <c r="Y109" s="39">
        <v>0.0</v>
      </c>
      <c r="Z109" s="39">
        <v>0.0</v>
      </c>
      <c r="AA109" s="39">
        <v>0.0</v>
      </c>
      <c r="AB109" s="39">
        <v>0.0</v>
      </c>
      <c r="AC109" s="39">
        <v>0.0</v>
      </c>
      <c r="AD109" s="39">
        <v>0.0</v>
      </c>
      <c r="AE109" s="39">
        <v>0.0</v>
      </c>
      <c r="AF109" s="39">
        <v>0.0</v>
      </c>
      <c r="AG109" s="39">
        <v>0.0</v>
      </c>
      <c r="AH109" s="39">
        <v>0.0</v>
      </c>
      <c r="AI109" s="39">
        <v>0.0</v>
      </c>
      <c r="AJ109" s="39">
        <v>0.0</v>
      </c>
      <c r="AK109" s="39">
        <v>0.0</v>
      </c>
      <c r="AL109" s="39">
        <v>4.6087049596E11</v>
      </c>
      <c r="AM109" s="39" t="s">
        <v>1209</v>
      </c>
      <c r="AN109" s="42">
        <v>0.13</v>
      </c>
      <c r="AO109" s="43">
        <v>2579.0</v>
      </c>
      <c r="AP109" s="39">
        <v>0.0</v>
      </c>
      <c r="AQ109" s="39">
        <v>0.0</v>
      </c>
      <c r="AR109" s="39">
        <v>0.0</v>
      </c>
      <c r="AS109" s="39">
        <v>2010.0</v>
      </c>
      <c r="AT109" s="39">
        <v>2000.0</v>
      </c>
      <c r="AU109" s="39">
        <v>10.0</v>
      </c>
      <c r="AV109" s="39">
        <v>0.0</v>
      </c>
      <c r="AW109" s="39">
        <v>0.0</v>
      </c>
      <c r="AX109" s="39">
        <v>0.0</v>
      </c>
      <c r="AY109" s="39">
        <v>0.0</v>
      </c>
      <c r="AZ109" s="39">
        <v>0.0</v>
      </c>
      <c r="BA109" s="39">
        <v>0.0</v>
      </c>
      <c r="BB109" s="39">
        <v>0.0</v>
      </c>
      <c r="BC109" s="39">
        <v>110.0</v>
      </c>
      <c r="BD109" s="39">
        <v>0.0</v>
      </c>
      <c r="BE109" s="39">
        <v>0.0</v>
      </c>
      <c r="BF109" s="39">
        <v>0.0</v>
      </c>
      <c r="BG109" s="39">
        <v>0.0</v>
      </c>
      <c r="BH109" s="39">
        <v>0.0</v>
      </c>
      <c r="BI109" s="44"/>
    </row>
    <row r="110">
      <c r="A110" s="38">
        <f t="shared" si="1"/>
        <v>45979</v>
      </c>
      <c r="B110" s="39">
        <v>109.0</v>
      </c>
      <c r="C110" s="39" t="s">
        <v>1557</v>
      </c>
      <c r="D110" s="39">
        <v>26.0</v>
      </c>
      <c r="E110" s="39">
        <v>2.653398787E9</v>
      </c>
      <c r="F110" s="39" t="s">
        <v>1204</v>
      </c>
      <c r="G110" s="39" t="s">
        <v>1558</v>
      </c>
      <c r="H110" s="39" t="s">
        <v>1559</v>
      </c>
      <c r="I110" s="40">
        <v>45979.0</v>
      </c>
      <c r="J110" s="40">
        <v>45979.0</v>
      </c>
      <c r="K110" s="40">
        <v>45980.0</v>
      </c>
      <c r="L110" s="41">
        <v>45988.0</v>
      </c>
      <c r="M110" s="41">
        <v>45988.0</v>
      </c>
      <c r="N110" s="41">
        <v>45992.0</v>
      </c>
      <c r="O110" s="39">
        <v>5.466907344E9</v>
      </c>
      <c r="P110" s="39" t="s">
        <v>1357</v>
      </c>
      <c r="Q110" s="39" t="s">
        <v>1358</v>
      </c>
      <c r="R110" s="39">
        <v>1.0</v>
      </c>
      <c r="S110" s="39">
        <v>62590.0</v>
      </c>
      <c r="T110" s="39">
        <v>70000.0</v>
      </c>
      <c r="U110" s="39">
        <v>0.0</v>
      </c>
      <c r="V110" s="39">
        <v>7410.0</v>
      </c>
      <c r="W110" s="39">
        <v>62590.0</v>
      </c>
      <c r="X110" s="39">
        <v>70000.0</v>
      </c>
      <c r="Y110" s="39">
        <v>0.0</v>
      </c>
      <c r="Z110" s="39">
        <v>0.0</v>
      </c>
      <c r="AA110" s="39">
        <v>0.0</v>
      </c>
      <c r="AB110" s="39">
        <v>0.0</v>
      </c>
      <c r="AC110" s="39">
        <v>0.0</v>
      </c>
      <c r="AD110" s="39">
        <v>0.0</v>
      </c>
      <c r="AE110" s="39">
        <v>0.0</v>
      </c>
      <c r="AF110" s="39">
        <v>0.0</v>
      </c>
      <c r="AG110" s="39">
        <v>0.0</v>
      </c>
      <c r="AH110" s="39">
        <v>0.0</v>
      </c>
      <c r="AI110" s="39">
        <v>0.0</v>
      </c>
      <c r="AJ110" s="39">
        <v>0.0</v>
      </c>
      <c r="AK110" s="39">
        <v>0.0</v>
      </c>
      <c r="AL110" s="39">
        <v>4.60870495971E11</v>
      </c>
      <c r="AM110" s="39" t="s">
        <v>1209</v>
      </c>
      <c r="AN110" s="42">
        <v>0.09</v>
      </c>
      <c r="AO110" s="43">
        <v>6300.0</v>
      </c>
      <c r="AP110" s="39">
        <v>0.0</v>
      </c>
      <c r="AQ110" s="39">
        <v>0.0</v>
      </c>
      <c r="AR110" s="39">
        <v>0.0</v>
      </c>
      <c r="AS110" s="39">
        <v>1000.0</v>
      </c>
      <c r="AT110" s="39">
        <v>1000.0</v>
      </c>
      <c r="AU110" s="39">
        <v>0.0</v>
      </c>
      <c r="AV110" s="39">
        <v>0.0</v>
      </c>
      <c r="AW110" s="39">
        <v>0.0</v>
      </c>
      <c r="AX110" s="39">
        <v>0.0</v>
      </c>
      <c r="AY110" s="39">
        <v>0.0</v>
      </c>
      <c r="AZ110" s="39">
        <v>0.0</v>
      </c>
      <c r="BA110" s="39">
        <v>0.0</v>
      </c>
      <c r="BB110" s="39">
        <v>0.0</v>
      </c>
      <c r="BC110" s="39">
        <v>110.0</v>
      </c>
      <c r="BD110" s="39">
        <v>0.0</v>
      </c>
      <c r="BE110" s="39">
        <v>0.0</v>
      </c>
      <c r="BF110" s="39">
        <v>0.0</v>
      </c>
      <c r="BG110" s="39">
        <v>0.0</v>
      </c>
      <c r="BH110" s="39">
        <v>0.0</v>
      </c>
      <c r="BI110" s="44"/>
    </row>
    <row r="111">
      <c r="A111" s="38">
        <f t="shared" si="1"/>
        <v>45979</v>
      </c>
      <c r="B111" s="39">
        <v>110.0</v>
      </c>
      <c r="C111" s="39" t="s">
        <v>1560</v>
      </c>
      <c r="D111" s="39">
        <v>2.0</v>
      </c>
      <c r="E111" s="39">
        <v>2.653422865E9</v>
      </c>
      <c r="F111" s="39" t="s">
        <v>1204</v>
      </c>
      <c r="G111" s="39" t="s">
        <v>1561</v>
      </c>
      <c r="H111" s="39" t="s">
        <v>1562</v>
      </c>
      <c r="I111" s="40">
        <v>45979.0</v>
      </c>
      <c r="J111" s="40">
        <v>45979.0</v>
      </c>
      <c r="K111" s="40">
        <v>45980.0</v>
      </c>
      <c r="L111" s="41">
        <v>45988.0</v>
      </c>
      <c r="M111" s="41">
        <v>45988.0</v>
      </c>
      <c r="N111" s="41">
        <v>45992.0</v>
      </c>
      <c r="O111" s="39">
        <v>8.71379692E9</v>
      </c>
      <c r="P111" s="39" t="s">
        <v>1478</v>
      </c>
      <c r="Q111" s="39" t="s">
        <v>1479</v>
      </c>
      <c r="R111" s="39">
        <v>1.0</v>
      </c>
      <c r="S111" s="39">
        <v>97190.0</v>
      </c>
      <c r="T111" s="39">
        <v>109000.0</v>
      </c>
      <c r="U111" s="39">
        <v>0.0</v>
      </c>
      <c r="V111" s="39">
        <v>11810.0</v>
      </c>
      <c r="W111" s="39">
        <v>0.0</v>
      </c>
      <c r="X111" s="39">
        <v>109000.0</v>
      </c>
      <c r="Y111" s="39">
        <v>0.0</v>
      </c>
      <c r="Z111" s="39">
        <v>0.0</v>
      </c>
      <c r="AA111" s="39">
        <v>0.0</v>
      </c>
      <c r="AB111" s="39">
        <v>0.0</v>
      </c>
      <c r="AC111" s="39">
        <v>0.0</v>
      </c>
      <c r="AD111" s="39">
        <v>0.0</v>
      </c>
      <c r="AE111" s="39">
        <v>0.0</v>
      </c>
      <c r="AF111" s="39">
        <v>0.0</v>
      </c>
      <c r="AG111" s="39">
        <v>0.0</v>
      </c>
      <c r="AH111" s="39">
        <v>0.0</v>
      </c>
      <c r="AI111" s="39">
        <v>0.0</v>
      </c>
      <c r="AJ111" s="39">
        <v>0.0</v>
      </c>
      <c r="AK111" s="39">
        <v>0.0</v>
      </c>
      <c r="AL111" s="39">
        <v>4.60870495982E11</v>
      </c>
      <c r="AM111" s="39" t="s">
        <v>1209</v>
      </c>
      <c r="AN111" s="42">
        <v>0.09</v>
      </c>
      <c r="AO111" s="43">
        <v>9810.0</v>
      </c>
      <c r="AP111" s="39">
        <v>0.0</v>
      </c>
      <c r="AQ111" s="39">
        <v>0.0</v>
      </c>
      <c r="AR111" s="39">
        <v>0.0</v>
      </c>
      <c r="AS111" s="39">
        <v>2000.0</v>
      </c>
      <c r="AT111" s="39">
        <v>2000.0</v>
      </c>
      <c r="AU111" s="39">
        <v>0.0</v>
      </c>
      <c r="AV111" s="39">
        <v>0.0</v>
      </c>
      <c r="AW111" s="39">
        <v>0.0</v>
      </c>
      <c r="AX111" s="39">
        <v>0.0</v>
      </c>
      <c r="AY111" s="39">
        <v>0.0</v>
      </c>
      <c r="AZ111" s="39">
        <v>0.0</v>
      </c>
      <c r="BA111" s="39">
        <v>0.0</v>
      </c>
      <c r="BB111" s="39">
        <v>0.0</v>
      </c>
      <c r="BC111" s="39">
        <v>0.0</v>
      </c>
      <c r="BD111" s="39">
        <v>0.0</v>
      </c>
      <c r="BE111" s="39">
        <v>0.0</v>
      </c>
      <c r="BF111" s="39">
        <v>0.0</v>
      </c>
      <c r="BG111" s="39">
        <v>0.0</v>
      </c>
      <c r="BH111" s="39">
        <v>0.0</v>
      </c>
      <c r="BI111" s="44"/>
    </row>
    <row r="112">
      <c r="A112" s="38">
        <f t="shared" si="1"/>
        <v>45979</v>
      </c>
      <c r="B112" s="39">
        <v>111.0</v>
      </c>
      <c r="C112" s="39" t="s">
        <v>1563</v>
      </c>
      <c r="D112" s="39">
        <v>1.0</v>
      </c>
      <c r="E112" s="39">
        <v>2.653437588E9</v>
      </c>
      <c r="F112" s="39" t="s">
        <v>1204</v>
      </c>
      <c r="G112" s="39" t="s">
        <v>1564</v>
      </c>
      <c r="H112" s="39" t="s">
        <v>1565</v>
      </c>
      <c r="I112" s="40">
        <v>45979.0</v>
      </c>
      <c r="J112" s="40">
        <v>45979.0</v>
      </c>
      <c r="K112" s="40">
        <v>45980.0</v>
      </c>
      <c r="L112" s="41">
        <v>45985.0</v>
      </c>
      <c r="M112" s="41">
        <v>45985.0</v>
      </c>
      <c r="N112" s="45">
        <v>45987.0</v>
      </c>
      <c r="O112" s="39">
        <v>8.715578135E9</v>
      </c>
      <c r="P112" s="39" t="s">
        <v>1258</v>
      </c>
      <c r="Q112" s="39" t="s">
        <v>1259</v>
      </c>
      <c r="R112" s="39">
        <v>1.0</v>
      </c>
      <c r="S112" s="39">
        <v>94984.0</v>
      </c>
      <c r="T112" s="39">
        <v>109000.0</v>
      </c>
      <c r="U112" s="39">
        <v>0.0</v>
      </c>
      <c r="V112" s="39">
        <v>14016.0</v>
      </c>
      <c r="W112" s="39">
        <v>0.0</v>
      </c>
      <c r="X112" s="39">
        <v>109000.0</v>
      </c>
      <c r="Y112" s="39">
        <v>0.0</v>
      </c>
      <c r="Z112" s="39">
        <v>0.0</v>
      </c>
      <c r="AA112" s="39">
        <v>0.0</v>
      </c>
      <c r="AB112" s="39">
        <v>0.0</v>
      </c>
      <c r="AC112" s="39">
        <v>0.0</v>
      </c>
      <c r="AD112" s="39">
        <v>0.0</v>
      </c>
      <c r="AE112" s="39">
        <v>0.0</v>
      </c>
      <c r="AF112" s="39">
        <v>0.0</v>
      </c>
      <c r="AG112" s="39">
        <v>0.0</v>
      </c>
      <c r="AH112" s="39">
        <v>0.0</v>
      </c>
      <c r="AI112" s="39">
        <v>0.0</v>
      </c>
      <c r="AJ112" s="39">
        <v>0.0</v>
      </c>
      <c r="AK112" s="39">
        <v>0.0</v>
      </c>
      <c r="AL112" s="39">
        <v>5.30636028676E11</v>
      </c>
      <c r="AM112" s="39" t="s">
        <v>1209</v>
      </c>
      <c r="AN112" s="42">
        <v>0.09</v>
      </c>
      <c r="AO112" s="43">
        <v>5450.0</v>
      </c>
      <c r="AP112" s="39">
        <v>0.0</v>
      </c>
      <c r="AQ112" s="39">
        <v>0.0</v>
      </c>
      <c r="AR112" s="39">
        <v>0.0</v>
      </c>
      <c r="AS112" s="39">
        <v>7450.0</v>
      </c>
      <c r="AT112" s="39">
        <v>2000.0</v>
      </c>
      <c r="AU112" s="39">
        <v>5450.0</v>
      </c>
      <c r="AV112" s="39">
        <v>0.0</v>
      </c>
      <c r="AW112" s="39">
        <v>0.0</v>
      </c>
      <c r="AX112" s="39">
        <v>0.0</v>
      </c>
      <c r="AY112" s="39">
        <v>0.0</v>
      </c>
      <c r="AZ112" s="39">
        <v>0.0</v>
      </c>
      <c r="BA112" s="39">
        <v>0.0</v>
      </c>
      <c r="BB112" s="39">
        <v>0.0</v>
      </c>
      <c r="BC112" s="39">
        <v>1116.0</v>
      </c>
      <c r="BD112" s="39">
        <v>0.0</v>
      </c>
      <c r="BE112" s="39">
        <v>0.0</v>
      </c>
      <c r="BF112" s="39">
        <v>0.0</v>
      </c>
      <c r="BG112" s="39">
        <v>0.0</v>
      </c>
      <c r="BH112" s="39">
        <v>0.0</v>
      </c>
      <c r="BI112" s="44"/>
    </row>
    <row r="113">
      <c r="A113" s="38">
        <f t="shared" si="1"/>
        <v>45979</v>
      </c>
      <c r="B113" s="39">
        <v>112.0</v>
      </c>
      <c r="C113" s="39" t="s">
        <v>1566</v>
      </c>
      <c r="D113" s="39">
        <v>1.0</v>
      </c>
      <c r="E113" s="39">
        <v>2.653501487E9</v>
      </c>
      <c r="F113" s="39" t="s">
        <v>1204</v>
      </c>
      <c r="G113" s="39" t="s">
        <v>1567</v>
      </c>
      <c r="H113" s="39" t="s">
        <v>1568</v>
      </c>
      <c r="I113" s="40">
        <v>45979.0</v>
      </c>
      <c r="J113" s="40">
        <v>45980.0</v>
      </c>
      <c r="K113" s="46"/>
      <c r="L113" s="41">
        <v>45981.0</v>
      </c>
      <c r="M113" s="41">
        <v>45981.0</v>
      </c>
      <c r="N113" s="45">
        <v>45985.0</v>
      </c>
      <c r="O113" s="39">
        <v>5.370879772E9</v>
      </c>
      <c r="P113" s="39" t="s">
        <v>1246</v>
      </c>
      <c r="Q113" s="39" t="s">
        <v>1247</v>
      </c>
      <c r="R113" s="39">
        <v>1.0</v>
      </c>
      <c r="S113" s="39">
        <v>27710.0</v>
      </c>
      <c r="T113" s="39">
        <v>33000.0</v>
      </c>
      <c r="U113" s="39">
        <v>0.0</v>
      </c>
      <c r="V113" s="39">
        <v>5290.0</v>
      </c>
      <c r="W113" s="39">
        <v>0.0</v>
      </c>
      <c r="X113" s="39">
        <v>33000.0</v>
      </c>
      <c r="Y113" s="39">
        <v>0.0</v>
      </c>
      <c r="Z113" s="39">
        <v>0.0</v>
      </c>
      <c r="AA113" s="39">
        <v>0.0</v>
      </c>
      <c r="AB113" s="39">
        <v>0.0</v>
      </c>
      <c r="AC113" s="39">
        <v>0.0</v>
      </c>
      <c r="AD113" s="39">
        <v>0.0</v>
      </c>
      <c r="AE113" s="39">
        <v>0.0</v>
      </c>
      <c r="AF113" s="39">
        <v>0.0</v>
      </c>
      <c r="AG113" s="39">
        <v>0.0</v>
      </c>
      <c r="AH113" s="39">
        <v>0.0</v>
      </c>
      <c r="AI113" s="39">
        <v>0.0</v>
      </c>
      <c r="AJ113" s="39">
        <v>0.0</v>
      </c>
      <c r="AK113" s="39">
        <v>0.0</v>
      </c>
      <c r="AL113" s="39">
        <v>4.60876143313E11</v>
      </c>
      <c r="AM113" s="39" t="s">
        <v>1209</v>
      </c>
      <c r="AN113" s="42">
        <v>0.09</v>
      </c>
      <c r="AO113" s="43">
        <v>2970.0</v>
      </c>
      <c r="AP113" s="39">
        <v>0.0</v>
      </c>
      <c r="AQ113" s="39">
        <v>0.0</v>
      </c>
      <c r="AR113" s="39">
        <v>0.0</v>
      </c>
      <c r="AS113" s="39">
        <v>2100.0</v>
      </c>
      <c r="AT113" s="39">
        <v>2100.0</v>
      </c>
      <c r="AU113" s="39">
        <v>0.0</v>
      </c>
      <c r="AV113" s="39">
        <v>0.0</v>
      </c>
      <c r="AW113" s="39">
        <v>0.0</v>
      </c>
      <c r="AX113" s="39">
        <v>0.0</v>
      </c>
      <c r="AY113" s="39">
        <v>0.0</v>
      </c>
      <c r="AZ113" s="39">
        <v>0.0</v>
      </c>
      <c r="BA113" s="39">
        <v>0.0</v>
      </c>
      <c r="BB113" s="39">
        <v>0.0</v>
      </c>
      <c r="BC113" s="39">
        <v>220.0</v>
      </c>
      <c r="BD113" s="39">
        <v>0.0</v>
      </c>
      <c r="BE113" s="39">
        <v>0.0</v>
      </c>
      <c r="BF113" s="39">
        <v>0.0</v>
      </c>
      <c r="BG113" s="39">
        <v>0.0</v>
      </c>
      <c r="BH113" s="39">
        <v>0.0</v>
      </c>
      <c r="BI113" s="44"/>
    </row>
    <row r="114">
      <c r="A114" s="38">
        <f t="shared" si="1"/>
        <v>45979</v>
      </c>
      <c r="B114" s="39">
        <v>113.0</v>
      </c>
      <c r="C114" s="39" t="s">
        <v>1569</v>
      </c>
      <c r="D114" s="39">
        <v>1.0</v>
      </c>
      <c r="E114" s="39">
        <v>2.653591812E9</v>
      </c>
      <c r="F114" s="39" t="s">
        <v>1204</v>
      </c>
      <c r="G114" s="39" t="s">
        <v>1570</v>
      </c>
      <c r="H114" s="39" t="s">
        <v>1571</v>
      </c>
      <c r="I114" s="40">
        <v>45979.0</v>
      </c>
      <c r="J114" s="40">
        <v>45980.0</v>
      </c>
      <c r="K114" s="40">
        <v>45982.0</v>
      </c>
      <c r="L114" s="41">
        <v>45990.0</v>
      </c>
      <c r="M114" s="41">
        <v>45990.0</v>
      </c>
      <c r="N114" s="41">
        <v>45993.0</v>
      </c>
      <c r="O114" s="39">
        <v>2.51481502E9</v>
      </c>
      <c r="P114" s="39" t="s">
        <v>1572</v>
      </c>
      <c r="Q114" s="39" t="s">
        <v>1219</v>
      </c>
      <c r="R114" s="39">
        <v>1.0</v>
      </c>
      <c r="S114" s="39">
        <v>7810.0</v>
      </c>
      <c r="T114" s="39">
        <v>9000.0</v>
      </c>
      <c r="U114" s="39">
        <v>0.0</v>
      </c>
      <c r="V114" s="39">
        <v>1190.0</v>
      </c>
      <c r="W114" s="39">
        <v>0.0</v>
      </c>
      <c r="X114" s="39">
        <v>9000.0</v>
      </c>
      <c r="Y114" s="39">
        <v>0.0</v>
      </c>
      <c r="Z114" s="39">
        <v>0.0</v>
      </c>
      <c r="AA114" s="39">
        <v>0.0</v>
      </c>
      <c r="AB114" s="39">
        <v>0.0</v>
      </c>
      <c r="AC114" s="39">
        <v>0.0</v>
      </c>
      <c r="AD114" s="39">
        <v>0.0</v>
      </c>
      <c r="AE114" s="39">
        <v>0.0</v>
      </c>
      <c r="AF114" s="39">
        <v>0.0</v>
      </c>
      <c r="AG114" s="39">
        <v>0.0</v>
      </c>
      <c r="AH114" s="39">
        <v>0.0</v>
      </c>
      <c r="AI114" s="39">
        <v>0.0</v>
      </c>
      <c r="AJ114" s="39">
        <v>0.0</v>
      </c>
      <c r="AK114" s="39">
        <v>0.0</v>
      </c>
      <c r="AL114" s="39">
        <v>4.60876143335E11</v>
      </c>
      <c r="AM114" s="39" t="s">
        <v>1209</v>
      </c>
      <c r="AN114" s="42">
        <v>0.12</v>
      </c>
      <c r="AO114" s="43">
        <v>1080.0</v>
      </c>
      <c r="AP114" s="39">
        <v>0.0</v>
      </c>
      <c r="AQ114" s="39">
        <v>0.0</v>
      </c>
      <c r="AR114" s="39">
        <v>0.0</v>
      </c>
      <c r="AS114" s="39">
        <v>0.0</v>
      </c>
      <c r="AT114" s="39">
        <v>0.0</v>
      </c>
      <c r="AU114" s="39">
        <v>0.0</v>
      </c>
      <c r="AV114" s="39">
        <v>0.0</v>
      </c>
      <c r="AW114" s="39">
        <v>0.0</v>
      </c>
      <c r="AX114" s="39">
        <v>0.0</v>
      </c>
      <c r="AY114" s="39">
        <v>0.0</v>
      </c>
      <c r="AZ114" s="39">
        <v>0.0</v>
      </c>
      <c r="BA114" s="39">
        <v>0.0</v>
      </c>
      <c r="BB114" s="39">
        <v>0.0</v>
      </c>
      <c r="BC114" s="39">
        <v>110.0</v>
      </c>
      <c r="BD114" s="39">
        <v>0.0</v>
      </c>
      <c r="BE114" s="39">
        <v>0.0</v>
      </c>
      <c r="BF114" s="39">
        <v>0.0</v>
      </c>
      <c r="BG114" s="39">
        <v>0.0</v>
      </c>
      <c r="BH114" s="39">
        <v>0.0</v>
      </c>
      <c r="BI114" s="44"/>
    </row>
    <row r="115">
      <c r="A115" s="38">
        <f t="shared" si="1"/>
        <v>45980</v>
      </c>
      <c r="B115" s="39">
        <v>114.0</v>
      </c>
      <c r="C115" s="39" t="s">
        <v>1573</v>
      </c>
      <c r="D115" s="39">
        <v>1.0</v>
      </c>
      <c r="E115" s="39">
        <v>2.653652422E9</v>
      </c>
      <c r="F115" s="39" t="s">
        <v>1204</v>
      </c>
      <c r="G115" s="39" t="s">
        <v>1574</v>
      </c>
      <c r="H115" s="39" t="s">
        <v>1575</v>
      </c>
      <c r="I115" s="40">
        <v>45980.0</v>
      </c>
      <c r="J115" s="40">
        <v>45980.0</v>
      </c>
      <c r="K115" s="40">
        <v>45982.0</v>
      </c>
      <c r="L115" s="41">
        <v>45990.0</v>
      </c>
      <c r="M115" s="41">
        <v>45990.0</v>
      </c>
      <c r="N115" s="41">
        <v>45993.0</v>
      </c>
      <c r="O115" s="39">
        <v>6.342749718E9</v>
      </c>
      <c r="P115" s="39" t="s">
        <v>1213</v>
      </c>
      <c r="Q115" s="39" t="s">
        <v>1283</v>
      </c>
      <c r="R115" s="39">
        <v>1.0</v>
      </c>
      <c r="S115" s="39">
        <v>27566.0</v>
      </c>
      <c r="T115" s="39">
        <v>59000.0</v>
      </c>
      <c r="U115" s="39">
        <v>0.0</v>
      </c>
      <c r="V115" s="39">
        <v>31434.0</v>
      </c>
      <c r="W115" s="39">
        <v>0.0</v>
      </c>
      <c r="X115" s="39">
        <v>59000.0</v>
      </c>
      <c r="Y115" s="39">
        <v>0.0</v>
      </c>
      <c r="Z115" s="39">
        <v>0.0</v>
      </c>
      <c r="AA115" s="39">
        <v>0.0</v>
      </c>
      <c r="AB115" s="39">
        <v>0.0</v>
      </c>
      <c r="AC115" s="39">
        <v>0.0</v>
      </c>
      <c r="AD115" s="39">
        <v>0.0</v>
      </c>
      <c r="AE115" s="39">
        <v>0.0</v>
      </c>
      <c r="AF115" s="39">
        <v>0.0</v>
      </c>
      <c r="AG115" s="39">
        <v>0.0</v>
      </c>
      <c r="AH115" s="39">
        <v>0.0</v>
      </c>
      <c r="AI115" s="39">
        <v>0.0</v>
      </c>
      <c r="AJ115" s="39">
        <v>0.0</v>
      </c>
      <c r="AK115" s="39">
        <v>0.0</v>
      </c>
      <c r="AL115" s="39">
        <v>4.60876143346E11</v>
      </c>
      <c r="AM115" s="39" t="s">
        <v>1209</v>
      </c>
      <c r="AN115" s="42">
        <v>0.09</v>
      </c>
      <c r="AO115" s="43">
        <v>5310.0</v>
      </c>
      <c r="AP115" s="39">
        <v>0.0</v>
      </c>
      <c r="AQ115" s="39">
        <v>0.0</v>
      </c>
      <c r="AR115" s="39">
        <v>0.0</v>
      </c>
      <c r="AS115" s="39">
        <v>24100.0</v>
      </c>
      <c r="AT115" s="39">
        <v>24100.0</v>
      </c>
      <c r="AU115" s="39">
        <v>0.0</v>
      </c>
      <c r="AV115" s="39">
        <v>0.0</v>
      </c>
      <c r="AW115" s="39">
        <v>0.0</v>
      </c>
      <c r="AX115" s="39">
        <v>0.0</v>
      </c>
      <c r="AY115" s="39">
        <v>0.0</v>
      </c>
      <c r="AZ115" s="39">
        <v>0.0</v>
      </c>
      <c r="BA115" s="39">
        <v>0.0</v>
      </c>
      <c r="BB115" s="39">
        <v>0.0</v>
      </c>
      <c r="BC115" s="39">
        <v>2024.0</v>
      </c>
      <c r="BD115" s="39">
        <v>0.0</v>
      </c>
      <c r="BE115" s="39">
        <v>0.0</v>
      </c>
      <c r="BF115" s="39">
        <v>0.0</v>
      </c>
      <c r="BG115" s="39">
        <v>0.0</v>
      </c>
      <c r="BH115" s="39">
        <v>0.0</v>
      </c>
      <c r="BI115" s="44"/>
    </row>
    <row r="116">
      <c r="A116" s="38">
        <f t="shared" si="1"/>
        <v>45980</v>
      </c>
      <c r="B116" s="39">
        <v>115.0</v>
      </c>
      <c r="C116" s="39" t="s">
        <v>1576</v>
      </c>
      <c r="D116" s="39">
        <v>1.0</v>
      </c>
      <c r="E116" s="39">
        <v>2.653669364E9</v>
      </c>
      <c r="F116" s="39" t="s">
        <v>1204</v>
      </c>
      <c r="G116" s="39" t="s">
        <v>1577</v>
      </c>
      <c r="H116" s="39" t="s">
        <v>1578</v>
      </c>
      <c r="I116" s="40">
        <v>45980.0</v>
      </c>
      <c r="J116" s="40">
        <v>45980.0</v>
      </c>
      <c r="K116" s="40">
        <v>45981.0</v>
      </c>
      <c r="L116" s="41">
        <v>45989.0</v>
      </c>
      <c r="M116" s="41">
        <v>45989.0</v>
      </c>
      <c r="N116" s="41">
        <v>45993.0</v>
      </c>
      <c r="O116" s="39">
        <v>8.71379692E9</v>
      </c>
      <c r="P116" s="39" t="s">
        <v>1478</v>
      </c>
      <c r="Q116" s="39" t="s">
        <v>1579</v>
      </c>
      <c r="R116" s="39">
        <v>1.0</v>
      </c>
      <c r="S116" s="39">
        <v>105003.0</v>
      </c>
      <c r="T116" s="39">
        <v>119000.0</v>
      </c>
      <c r="U116" s="39">
        <v>0.0</v>
      </c>
      <c r="V116" s="39">
        <v>13997.0</v>
      </c>
      <c r="W116" s="39">
        <v>0.0</v>
      </c>
      <c r="X116" s="39">
        <v>109000.0</v>
      </c>
      <c r="Y116" s="39">
        <v>10000.0</v>
      </c>
      <c r="Z116" s="39">
        <v>0.0</v>
      </c>
      <c r="AA116" s="39">
        <v>0.0</v>
      </c>
      <c r="AB116" s="39">
        <v>0.0</v>
      </c>
      <c r="AC116" s="39">
        <v>0.0</v>
      </c>
      <c r="AD116" s="39">
        <v>0.0</v>
      </c>
      <c r="AE116" s="39">
        <v>0.0</v>
      </c>
      <c r="AF116" s="39">
        <v>0.0</v>
      </c>
      <c r="AG116" s="39">
        <v>0.0</v>
      </c>
      <c r="AH116" s="39">
        <v>0.0</v>
      </c>
      <c r="AI116" s="39">
        <v>0.0</v>
      </c>
      <c r="AJ116" s="39">
        <v>0.0</v>
      </c>
      <c r="AK116" s="39">
        <v>0.0</v>
      </c>
      <c r="AL116" s="39">
        <v>4.60877103341E11</v>
      </c>
      <c r="AM116" s="39" t="s">
        <v>1209</v>
      </c>
      <c r="AN116" s="42">
        <v>0.09</v>
      </c>
      <c r="AO116" s="43">
        <v>10710.0</v>
      </c>
      <c r="AP116" s="39">
        <v>0.0</v>
      </c>
      <c r="AQ116" s="39">
        <v>0.0</v>
      </c>
      <c r="AR116" s="39">
        <v>0.0</v>
      </c>
      <c r="AS116" s="39">
        <v>2000.0</v>
      </c>
      <c r="AT116" s="39">
        <v>2000.0</v>
      </c>
      <c r="AU116" s="39">
        <v>0.0</v>
      </c>
      <c r="AV116" s="39">
        <v>0.0</v>
      </c>
      <c r="AW116" s="39">
        <v>0.0</v>
      </c>
      <c r="AX116" s="39">
        <v>0.0</v>
      </c>
      <c r="AY116" s="39">
        <v>0.0</v>
      </c>
      <c r="AZ116" s="39">
        <v>0.0</v>
      </c>
      <c r="BA116" s="39">
        <v>0.0</v>
      </c>
      <c r="BB116" s="39">
        <v>0.0</v>
      </c>
      <c r="BC116" s="39">
        <v>1287.0</v>
      </c>
      <c r="BD116" s="39">
        <v>0.0</v>
      </c>
      <c r="BE116" s="39">
        <v>0.0</v>
      </c>
      <c r="BF116" s="39">
        <v>0.0</v>
      </c>
      <c r="BG116" s="39">
        <v>0.0</v>
      </c>
      <c r="BH116" s="39">
        <v>0.0</v>
      </c>
      <c r="BI116" s="44"/>
    </row>
    <row r="117">
      <c r="A117" s="38">
        <f t="shared" si="1"/>
        <v>45980</v>
      </c>
      <c r="B117" s="39">
        <v>116.0</v>
      </c>
      <c r="C117" s="39" t="s">
        <v>1580</v>
      </c>
      <c r="D117" s="39">
        <v>8.0</v>
      </c>
      <c r="E117" s="39">
        <v>2.65376264E9</v>
      </c>
      <c r="F117" s="39" t="s">
        <v>1204</v>
      </c>
      <c r="G117" s="39" t="s">
        <v>1581</v>
      </c>
      <c r="H117" s="39" t="s">
        <v>1582</v>
      </c>
      <c r="I117" s="40">
        <v>45980.0</v>
      </c>
      <c r="J117" s="40">
        <v>45980.0</v>
      </c>
      <c r="K117" s="40">
        <v>45981.0</v>
      </c>
      <c r="L117" s="41">
        <v>45989.0</v>
      </c>
      <c r="M117" s="41">
        <v>45989.0</v>
      </c>
      <c r="N117" s="41">
        <v>45993.0</v>
      </c>
      <c r="O117" s="39">
        <v>8.432350374E9</v>
      </c>
      <c r="P117" s="39" t="s">
        <v>1583</v>
      </c>
      <c r="Q117" s="39" t="s">
        <v>1584</v>
      </c>
      <c r="R117" s="39">
        <v>1.0</v>
      </c>
      <c r="S117" s="39">
        <v>24908.0</v>
      </c>
      <c r="T117" s="39">
        <v>29800.0</v>
      </c>
      <c r="U117" s="39">
        <v>0.0</v>
      </c>
      <c r="V117" s="39">
        <v>4892.0</v>
      </c>
      <c r="W117" s="39">
        <v>24908.0</v>
      </c>
      <c r="X117" s="39">
        <v>29800.0</v>
      </c>
      <c r="Y117" s="39">
        <v>0.0</v>
      </c>
      <c r="Z117" s="39">
        <v>0.0</v>
      </c>
      <c r="AA117" s="39">
        <v>0.0</v>
      </c>
      <c r="AB117" s="39">
        <v>0.0</v>
      </c>
      <c r="AC117" s="39">
        <v>0.0</v>
      </c>
      <c r="AD117" s="39">
        <v>0.0</v>
      </c>
      <c r="AE117" s="39">
        <v>0.0</v>
      </c>
      <c r="AF117" s="39">
        <v>0.0</v>
      </c>
      <c r="AG117" s="39">
        <v>0.0</v>
      </c>
      <c r="AH117" s="39">
        <v>0.0</v>
      </c>
      <c r="AI117" s="39">
        <v>0.0</v>
      </c>
      <c r="AJ117" s="39">
        <v>0.0</v>
      </c>
      <c r="AK117" s="39">
        <v>0.0</v>
      </c>
      <c r="AL117" s="39">
        <v>4.60883352812E11</v>
      </c>
      <c r="AM117" s="39" t="s">
        <v>1209</v>
      </c>
      <c r="AN117" s="42">
        <v>0.09</v>
      </c>
      <c r="AO117" s="43">
        <v>2682.0</v>
      </c>
      <c r="AP117" s="39">
        <v>0.0</v>
      </c>
      <c r="AQ117" s="39">
        <v>0.0</v>
      </c>
      <c r="AR117" s="39">
        <v>0.0</v>
      </c>
      <c r="AS117" s="39">
        <v>2100.0</v>
      </c>
      <c r="AT117" s="39">
        <v>2100.0</v>
      </c>
      <c r="AU117" s="39">
        <v>0.0</v>
      </c>
      <c r="AV117" s="39">
        <v>0.0</v>
      </c>
      <c r="AW117" s="39">
        <v>0.0</v>
      </c>
      <c r="AX117" s="39">
        <v>0.0</v>
      </c>
      <c r="AY117" s="39">
        <v>0.0</v>
      </c>
      <c r="AZ117" s="39">
        <v>0.0</v>
      </c>
      <c r="BA117" s="39">
        <v>0.0</v>
      </c>
      <c r="BB117" s="39">
        <v>0.0</v>
      </c>
      <c r="BC117" s="39">
        <v>110.0</v>
      </c>
      <c r="BD117" s="39">
        <v>0.0</v>
      </c>
      <c r="BE117" s="39">
        <v>0.0</v>
      </c>
      <c r="BF117" s="39">
        <v>0.0</v>
      </c>
      <c r="BG117" s="39">
        <v>0.0</v>
      </c>
      <c r="BH117" s="39">
        <v>0.0</v>
      </c>
      <c r="BI117" s="44"/>
    </row>
    <row r="118">
      <c r="A118" s="38">
        <f t="shared" si="1"/>
        <v>45980</v>
      </c>
      <c r="B118" s="39">
        <v>117.0</v>
      </c>
      <c r="C118" s="39" t="s">
        <v>1585</v>
      </c>
      <c r="D118" s="39">
        <v>2.0</v>
      </c>
      <c r="E118" s="39">
        <v>2.653786092E9</v>
      </c>
      <c r="F118" s="39" t="s">
        <v>1204</v>
      </c>
      <c r="G118" s="39" t="s">
        <v>1586</v>
      </c>
      <c r="H118" s="39" t="s">
        <v>1587</v>
      </c>
      <c r="I118" s="40">
        <v>45980.0</v>
      </c>
      <c r="J118" s="40">
        <v>45981.0</v>
      </c>
      <c r="K118" s="40">
        <v>45982.0</v>
      </c>
      <c r="L118" s="41">
        <v>45990.0</v>
      </c>
      <c r="M118" s="41">
        <v>45990.0</v>
      </c>
      <c r="N118" s="41">
        <v>45993.0</v>
      </c>
      <c r="O118" s="39">
        <v>7.29772671E9</v>
      </c>
      <c r="P118" s="39" t="s">
        <v>1325</v>
      </c>
      <c r="Q118" s="39" t="s">
        <v>1588</v>
      </c>
      <c r="R118" s="39">
        <v>2.0</v>
      </c>
      <c r="S118" s="39">
        <v>17598.0</v>
      </c>
      <c r="T118" s="39">
        <v>39800.0</v>
      </c>
      <c r="U118" s="39">
        <v>0.0</v>
      </c>
      <c r="V118" s="39">
        <v>22202.0</v>
      </c>
      <c r="W118" s="39">
        <v>17598.0</v>
      </c>
      <c r="X118" s="39">
        <v>39800.0</v>
      </c>
      <c r="Y118" s="39">
        <v>0.0</v>
      </c>
      <c r="Z118" s="39">
        <v>0.0</v>
      </c>
      <c r="AA118" s="39">
        <v>0.0</v>
      </c>
      <c r="AB118" s="39">
        <v>0.0</v>
      </c>
      <c r="AC118" s="39">
        <v>0.0</v>
      </c>
      <c r="AD118" s="39">
        <v>0.0</v>
      </c>
      <c r="AE118" s="39">
        <v>0.0</v>
      </c>
      <c r="AF118" s="39">
        <v>0.0</v>
      </c>
      <c r="AG118" s="39">
        <v>0.0</v>
      </c>
      <c r="AH118" s="39">
        <v>0.0</v>
      </c>
      <c r="AI118" s="39">
        <v>0.0</v>
      </c>
      <c r="AJ118" s="39">
        <v>0.0</v>
      </c>
      <c r="AK118" s="39">
        <v>0.0</v>
      </c>
      <c r="AL118" s="39">
        <v>4.60887557701E11</v>
      </c>
      <c r="AM118" s="39" t="s">
        <v>1209</v>
      </c>
      <c r="AN118" s="42">
        <v>0.09</v>
      </c>
      <c r="AO118" s="43">
        <v>3582.0</v>
      </c>
      <c r="AP118" s="39">
        <v>0.0</v>
      </c>
      <c r="AQ118" s="39">
        <v>0.0</v>
      </c>
      <c r="AR118" s="39">
        <v>0.0</v>
      </c>
      <c r="AS118" s="39">
        <v>14400.0</v>
      </c>
      <c r="AT118" s="39">
        <v>14400.0</v>
      </c>
      <c r="AU118" s="39">
        <v>0.0</v>
      </c>
      <c r="AV118" s="39">
        <v>0.0</v>
      </c>
      <c r="AW118" s="39">
        <v>4000.0</v>
      </c>
      <c r="AX118" s="39">
        <v>0.0</v>
      </c>
      <c r="AY118" s="39">
        <v>0.0</v>
      </c>
      <c r="AZ118" s="39">
        <v>0.0</v>
      </c>
      <c r="BA118" s="39">
        <v>0.0</v>
      </c>
      <c r="BB118" s="39">
        <v>0.0</v>
      </c>
      <c r="BC118" s="39">
        <v>220.0</v>
      </c>
      <c r="BD118" s="39">
        <v>0.0</v>
      </c>
      <c r="BE118" s="39">
        <v>0.0</v>
      </c>
      <c r="BF118" s="39">
        <v>0.0</v>
      </c>
      <c r="BG118" s="39">
        <v>0.0</v>
      </c>
      <c r="BH118" s="39">
        <v>0.0</v>
      </c>
      <c r="BI118" s="44"/>
    </row>
    <row r="119">
      <c r="A119" s="38">
        <f t="shared" si="1"/>
        <v>45980</v>
      </c>
      <c r="B119" s="39">
        <v>118.0</v>
      </c>
      <c r="C119" s="39" t="s">
        <v>1585</v>
      </c>
      <c r="D119" s="39">
        <v>1.0</v>
      </c>
      <c r="E119" s="39">
        <v>2.653786092E9</v>
      </c>
      <c r="F119" s="39" t="s">
        <v>1204</v>
      </c>
      <c r="G119" s="39" t="s">
        <v>1586</v>
      </c>
      <c r="H119" s="39" t="s">
        <v>1587</v>
      </c>
      <c r="I119" s="40">
        <v>45980.0</v>
      </c>
      <c r="J119" s="40">
        <v>45981.0</v>
      </c>
      <c r="K119" s="40">
        <v>45982.0</v>
      </c>
      <c r="L119" s="41">
        <v>45990.0</v>
      </c>
      <c r="M119" s="41">
        <v>45990.0</v>
      </c>
      <c r="N119" s="41">
        <v>45993.0</v>
      </c>
      <c r="O119" s="39">
        <v>7.29772671E9</v>
      </c>
      <c r="P119" s="39" t="s">
        <v>1325</v>
      </c>
      <c r="Q119" s="39" t="s">
        <v>1589</v>
      </c>
      <c r="R119" s="39">
        <v>2.0</v>
      </c>
      <c r="S119" s="39">
        <v>17598.0</v>
      </c>
      <c r="T119" s="39">
        <v>39800.0</v>
      </c>
      <c r="U119" s="39">
        <v>0.0</v>
      </c>
      <c r="V119" s="39">
        <v>22202.0</v>
      </c>
      <c r="W119" s="39">
        <v>17598.0</v>
      </c>
      <c r="X119" s="39">
        <v>39800.0</v>
      </c>
      <c r="Y119" s="39">
        <v>0.0</v>
      </c>
      <c r="Z119" s="39">
        <v>0.0</v>
      </c>
      <c r="AA119" s="39">
        <v>0.0</v>
      </c>
      <c r="AB119" s="39">
        <v>0.0</v>
      </c>
      <c r="AC119" s="39">
        <v>0.0</v>
      </c>
      <c r="AD119" s="39">
        <v>0.0</v>
      </c>
      <c r="AE119" s="39">
        <v>0.0</v>
      </c>
      <c r="AF119" s="39">
        <v>0.0</v>
      </c>
      <c r="AG119" s="39">
        <v>0.0</v>
      </c>
      <c r="AH119" s="39">
        <v>0.0</v>
      </c>
      <c r="AI119" s="39">
        <v>0.0</v>
      </c>
      <c r="AJ119" s="39">
        <v>0.0</v>
      </c>
      <c r="AK119" s="39">
        <v>0.0</v>
      </c>
      <c r="AL119" s="39">
        <v>4.60887557701E11</v>
      </c>
      <c r="AM119" s="39" t="s">
        <v>1209</v>
      </c>
      <c r="AN119" s="42">
        <v>0.09</v>
      </c>
      <c r="AO119" s="43">
        <v>3582.0</v>
      </c>
      <c r="AP119" s="39">
        <v>0.0</v>
      </c>
      <c r="AQ119" s="39">
        <v>0.0</v>
      </c>
      <c r="AR119" s="39">
        <v>0.0</v>
      </c>
      <c r="AS119" s="39">
        <v>14400.0</v>
      </c>
      <c r="AT119" s="39">
        <v>14400.0</v>
      </c>
      <c r="AU119" s="39">
        <v>0.0</v>
      </c>
      <c r="AV119" s="39">
        <v>0.0</v>
      </c>
      <c r="AW119" s="39">
        <v>4000.0</v>
      </c>
      <c r="AX119" s="39">
        <v>0.0</v>
      </c>
      <c r="AY119" s="39">
        <v>0.0</v>
      </c>
      <c r="AZ119" s="39">
        <v>0.0</v>
      </c>
      <c r="BA119" s="39">
        <v>0.0</v>
      </c>
      <c r="BB119" s="39">
        <v>0.0</v>
      </c>
      <c r="BC119" s="39">
        <v>220.0</v>
      </c>
      <c r="BD119" s="39">
        <v>0.0</v>
      </c>
      <c r="BE119" s="39">
        <v>0.0</v>
      </c>
      <c r="BF119" s="39">
        <v>0.0</v>
      </c>
      <c r="BG119" s="39">
        <v>0.0</v>
      </c>
      <c r="BH119" s="39">
        <v>0.0</v>
      </c>
      <c r="BI119" s="44"/>
    </row>
    <row r="120">
      <c r="A120" s="38">
        <f t="shared" si="1"/>
        <v>45980</v>
      </c>
      <c r="B120" s="39">
        <v>119.0</v>
      </c>
      <c r="C120" s="39" t="s">
        <v>1585</v>
      </c>
      <c r="D120" s="39">
        <v>3.0</v>
      </c>
      <c r="E120" s="39">
        <v>2.653786092E9</v>
      </c>
      <c r="F120" s="39" t="s">
        <v>1204</v>
      </c>
      <c r="G120" s="39" t="s">
        <v>1586</v>
      </c>
      <c r="H120" s="39" t="s">
        <v>1587</v>
      </c>
      <c r="I120" s="40">
        <v>45980.0</v>
      </c>
      <c r="J120" s="40">
        <v>45981.0</v>
      </c>
      <c r="K120" s="40">
        <v>45982.0</v>
      </c>
      <c r="L120" s="41">
        <v>45990.0</v>
      </c>
      <c r="M120" s="41">
        <v>45990.0</v>
      </c>
      <c r="N120" s="45">
        <v>45993.0</v>
      </c>
      <c r="O120" s="39">
        <v>7.29772671E9</v>
      </c>
      <c r="P120" s="39" t="s">
        <v>1325</v>
      </c>
      <c r="Q120" s="39" t="s">
        <v>1590</v>
      </c>
      <c r="R120" s="39">
        <v>2.0</v>
      </c>
      <c r="S120" s="39">
        <v>17598.0</v>
      </c>
      <c r="T120" s="39">
        <v>39800.0</v>
      </c>
      <c r="U120" s="39">
        <v>0.0</v>
      </c>
      <c r="V120" s="39">
        <v>22202.0</v>
      </c>
      <c r="W120" s="39">
        <v>17598.0</v>
      </c>
      <c r="X120" s="39">
        <v>39800.0</v>
      </c>
      <c r="Y120" s="39">
        <v>0.0</v>
      </c>
      <c r="Z120" s="39">
        <v>0.0</v>
      </c>
      <c r="AA120" s="39">
        <v>0.0</v>
      </c>
      <c r="AB120" s="39">
        <v>0.0</v>
      </c>
      <c r="AC120" s="39">
        <v>0.0</v>
      </c>
      <c r="AD120" s="39">
        <v>0.0</v>
      </c>
      <c r="AE120" s="39">
        <v>0.0</v>
      </c>
      <c r="AF120" s="39">
        <v>0.0</v>
      </c>
      <c r="AG120" s="39">
        <v>0.0</v>
      </c>
      <c r="AH120" s="39">
        <v>0.0</v>
      </c>
      <c r="AI120" s="39">
        <v>0.0</v>
      </c>
      <c r="AJ120" s="39">
        <v>0.0</v>
      </c>
      <c r="AK120" s="39">
        <v>0.0</v>
      </c>
      <c r="AL120" s="39">
        <v>4.60887557701E11</v>
      </c>
      <c r="AM120" s="39" t="s">
        <v>1209</v>
      </c>
      <c r="AN120" s="42">
        <v>0.09</v>
      </c>
      <c r="AO120" s="43">
        <v>3582.0</v>
      </c>
      <c r="AP120" s="39">
        <v>0.0</v>
      </c>
      <c r="AQ120" s="39">
        <v>0.0</v>
      </c>
      <c r="AR120" s="39">
        <v>0.0</v>
      </c>
      <c r="AS120" s="39">
        <v>14400.0</v>
      </c>
      <c r="AT120" s="39">
        <v>14400.0</v>
      </c>
      <c r="AU120" s="39">
        <v>0.0</v>
      </c>
      <c r="AV120" s="39">
        <v>0.0</v>
      </c>
      <c r="AW120" s="39">
        <v>4000.0</v>
      </c>
      <c r="AX120" s="39">
        <v>0.0</v>
      </c>
      <c r="AY120" s="39">
        <v>0.0</v>
      </c>
      <c r="AZ120" s="39">
        <v>0.0</v>
      </c>
      <c r="BA120" s="39">
        <v>0.0</v>
      </c>
      <c r="BB120" s="39">
        <v>0.0</v>
      </c>
      <c r="BC120" s="39">
        <v>220.0</v>
      </c>
      <c r="BD120" s="39">
        <v>0.0</v>
      </c>
      <c r="BE120" s="39">
        <v>0.0</v>
      </c>
      <c r="BF120" s="39">
        <v>0.0</v>
      </c>
      <c r="BG120" s="39">
        <v>0.0</v>
      </c>
      <c r="BH120" s="39">
        <v>0.0</v>
      </c>
      <c r="BI120" s="44"/>
    </row>
    <row r="121">
      <c r="A121" s="38">
        <f t="shared" si="1"/>
        <v>45981</v>
      </c>
      <c r="B121" s="39">
        <v>120.0</v>
      </c>
      <c r="C121" s="39" t="s">
        <v>1591</v>
      </c>
      <c r="D121" s="39">
        <v>1.0</v>
      </c>
      <c r="E121" s="39">
        <v>2.65392925E9</v>
      </c>
      <c r="F121" s="39" t="s">
        <v>1204</v>
      </c>
      <c r="G121" s="39" t="s">
        <v>1592</v>
      </c>
      <c r="H121" s="39" t="s">
        <v>1593</v>
      </c>
      <c r="I121" s="40">
        <v>45981.0</v>
      </c>
      <c r="J121" s="40">
        <v>45981.0</v>
      </c>
      <c r="K121" s="40">
        <v>45982.0</v>
      </c>
      <c r="L121" s="41">
        <v>45990.0</v>
      </c>
      <c r="M121" s="41">
        <v>45990.0</v>
      </c>
      <c r="N121" s="41">
        <v>45993.0</v>
      </c>
      <c r="O121" s="39">
        <v>7.56009123E9</v>
      </c>
      <c r="P121" s="39" t="s">
        <v>1594</v>
      </c>
      <c r="Q121" s="39" t="s">
        <v>1219</v>
      </c>
      <c r="R121" s="39">
        <v>1.0</v>
      </c>
      <c r="S121" s="39">
        <v>100135.0</v>
      </c>
      <c r="T121" s="39">
        <v>130000.0</v>
      </c>
      <c r="U121" s="39">
        <v>0.0</v>
      </c>
      <c r="V121" s="39">
        <v>29865.0</v>
      </c>
      <c r="W121" s="39">
        <v>0.0</v>
      </c>
      <c r="X121" s="39">
        <v>130000.0</v>
      </c>
      <c r="Y121" s="39">
        <v>0.0</v>
      </c>
      <c r="Z121" s="39">
        <v>0.0</v>
      </c>
      <c r="AA121" s="39">
        <v>0.0</v>
      </c>
      <c r="AB121" s="39">
        <v>0.0</v>
      </c>
      <c r="AC121" s="39">
        <v>0.0</v>
      </c>
      <c r="AD121" s="39">
        <v>0.0</v>
      </c>
      <c r="AE121" s="39">
        <v>0.0</v>
      </c>
      <c r="AF121" s="39">
        <v>0.0</v>
      </c>
      <c r="AG121" s="39">
        <v>0.0</v>
      </c>
      <c r="AH121" s="39">
        <v>0.0</v>
      </c>
      <c r="AI121" s="39">
        <v>0.0</v>
      </c>
      <c r="AJ121" s="39">
        <v>0.0</v>
      </c>
      <c r="AK121" s="39">
        <v>0.0</v>
      </c>
      <c r="AL121" s="39">
        <v>4.60887557734E11</v>
      </c>
      <c r="AM121" s="39" t="s">
        <v>1209</v>
      </c>
      <c r="AN121" s="42">
        <v>0.13</v>
      </c>
      <c r="AO121" s="43">
        <v>12436.0</v>
      </c>
      <c r="AP121" s="39">
        <v>0.0</v>
      </c>
      <c r="AQ121" s="39">
        <v>0.0</v>
      </c>
      <c r="AR121" s="39">
        <v>0.0</v>
      </c>
      <c r="AS121" s="39">
        <v>12450.0</v>
      </c>
      <c r="AT121" s="39">
        <v>6870.0</v>
      </c>
      <c r="AU121" s="39">
        <v>5580.0</v>
      </c>
      <c r="AV121" s="39">
        <v>0.0</v>
      </c>
      <c r="AW121" s="39">
        <v>0.0</v>
      </c>
      <c r="AX121" s="39">
        <v>0.0</v>
      </c>
      <c r="AY121" s="39">
        <v>0.0</v>
      </c>
      <c r="AZ121" s="39">
        <v>0.0</v>
      </c>
      <c r="BA121" s="39">
        <v>0.0</v>
      </c>
      <c r="BB121" s="39">
        <v>0.0</v>
      </c>
      <c r="BC121" s="39">
        <v>4979.0</v>
      </c>
      <c r="BD121" s="39">
        <v>0.0</v>
      </c>
      <c r="BE121" s="39">
        <v>0.0</v>
      </c>
      <c r="BF121" s="39">
        <v>0.0</v>
      </c>
      <c r="BG121" s="39">
        <v>0.0</v>
      </c>
      <c r="BH121" s="39">
        <v>0.0</v>
      </c>
      <c r="BI121" s="44"/>
    </row>
    <row r="122">
      <c r="A122" s="38">
        <f t="shared" si="1"/>
        <v>45981</v>
      </c>
      <c r="B122" s="39">
        <v>121.0</v>
      </c>
      <c r="C122" s="39" t="s">
        <v>1591</v>
      </c>
      <c r="D122" s="39">
        <v>2.0</v>
      </c>
      <c r="E122" s="39">
        <v>2.65392925E9</v>
      </c>
      <c r="F122" s="39" t="s">
        <v>1204</v>
      </c>
      <c r="G122" s="39" t="s">
        <v>1592</v>
      </c>
      <c r="H122" s="39" t="s">
        <v>1593</v>
      </c>
      <c r="I122" s="40">
        <v>45981.0</v>
      </c>
      <c r="J122" s="40">
        <v>45981.0</v>
      </c>
      <c r="K122" s="40">
        <v>45982.0</v>
      </c>
      <c r="L122" s="41">
        <v>45990.0</v>
      </c>
      <c r="M122" s="41">
        <v>45990.0</v>
      </c>
      <c r="N122" s="41">
        <v>45993.0</v>
      </c>
      <c r="O122" s="39">
        <v>8.192853693E9</v>
      </c>
      <c r="P122" s="39" t="s">
        <v>1595</v>
      </c>
      <c r="Q122" s="39" t="s">
        <v>1219</v>
      </c>
      <c r="R122" s="39">
        <v>1.0</v>
      </c>
      <c r="S122" s="39">
        <v>22533.0</v>
      </c>
      <c r="T122" s="39">
        <v>25900.0</v>
      </c>
      <c r="U122" s="39">
        <v>0.0</v>
      </c>
      <c r="V122" s="39">
        <v>3367.0</v>
      </c>
      <c r="W122" s="39">
        <v>0.0</v>
      </c>
      <c r="X122" s="39">
        <v>25900.0</v>
      </c>
      <c r="Y122" s="39">
        <v>0.0</v>
      </c>
      <c r="Z122" s="39">
        <v>0.0</v>
      </c>
      <c r="AA122" s="39">
        <v>0.0</v>
      </c>
      <c r="AB122" s="39">
        <v>0.0</v>
      </c>
      <c r="AC122" s="39">
        <v>0.0</v>
      </c>
      <c r="AD122" s="39">
        <v>0.0</v>
      </c>
      <c r="AE122" s="39">
        <v>0.0</v>
      </c>
      <c r="AF122" s="39">
        <v>0.0</v>
      </c>
      <c r="AG122" s="39">
        <v>0.0</v>
      </c>
      <c r="AH122" s="39">
        <v>0.0</v>
      </c>
      <c r="AI122" s="39">
        <v>0.0</v>
      </c>
      <c r="AJ122" s="39">
        <v>0.0</v>
      </c>
      <c r="AK122" s="39">
        <v>0.0</v>
      </c>
      <c r="AL122" s="39">
        <v>4.60887557734E11</v>
      </c>
      <c r="AM122" s="39" t="s">
        <v>1209</v>
      </c>
      <c r="AN122" s="42">
        <v>0.13</v>
      </c>
      <c r="AO122" s="43">
        <v>3367.0</v>
      </c>
      <c r="AP122" s="39">
        <v>0.0</v>
      </c>
      <c r="AQ122" s="39">
        <v>0.0</v>
      </c>
      <c r="AR122" s="39">
        <v>0.0</v>
      </c>
      <c r="AS122" s="39">
        <v>0.0</v>
      </c>
      <c r="AT122" s="39">
        <v>0.0</v>
      </c>
      <c r="AU122" s="39">
        <v>0.0</v>
      </c>
      <c r="AV122" s="39">
        <v>0.0</v>
      </c>
      <c r="AW122" s="39">
        <v>0.0</v>
      </c>
      <c r="AX122" s="39">
        <v>0.0</v>
      </c>
      <c r="AY122" s="39">
        <v>0.0</v>
      </c>
      <c r="AZ122" s="39">
        <v>0.0</v>
      </c>
      <c r="BA122" s="39">
        <v>0.0</v>
      </c>
      <c r="BB122" s="39">
        <v>0.0</v>
      </c>
      <c r="BC122" s="39">
        <v>0.0</v>
      </c>
      <c r="BD122" s="39">
        <v>0.0</v>
      </c>
      <c r="BE122" s="39">
        <v>0.0</v>
      </c>
      <c r="BF122" s="39">
        <v>0.0</v>
      </c>
      <c r="BG122" s="39">
        <v>0.0</v>
      </c>
      <c r="BH122" s="39">
        <v>0.0</v>
      </c>
      <c r="BI122" s="44"/>
    </row>
    <row r="123">
      <c r="A123" s="38">
        <f t="shared" si="1"/>
        <v>45981</v>
      </c>
      <c r="B123" s="39">
        <v>122.0</v>
      </c>
      <c r="C123" s="39" t="s">
        <v>1596</v>
      </c>
      <c r="D123" s="39">
        <v>1.0</v>
      </c>
      <c r="E123" s="39">
        <v>2.653936398E9</v>
      </c>
      <c r="F123" s="39" t="s">
        <v>1204</v>
      </c>
      <c r="G123" s="39" t="s">
        <v>1597</v>
      </c>
      <c r="H123" s="39" t="s">
        <v>1598</v>
      </c>
      <c r="I123" s="40">
        <v>45981.0</v>
      </c>
      <c r="J123" s="40">
        <v>45981.0</v>
      </c>
      <c r="K123" s="40">
        <v>45982.0</v>
      </c>
      <c r="L123" s="41">
        <v>45990.0</v>
      </c>
      <c r="M123" s="41">
        <v>45990.0</v>
      </c>
      <c r="N123" s="45">
        <v>45993.0</v>
      </c>
      <c r="O123" s="39">
        <v>6.546161396E9</v>
      </c>
      <c r="P123" s="39" t="s">
        <v>1231</v>
      </c>
      <c r="Q123" s="39" t="s">
        <v>1599</v>
      </c>
      <c r="R123" s="39">
        <v>2.0</v>
      </c>
      <c r="S123" s="39">
        <v>25197.0</v>
      </c>
      <c r="T123" s="39">
        <v>36000.0</v>
      </c>
      <c r="U123" s="39">
        <v>0.0</v>
      </c>
      <c r="V123" s="39">
        <v>10803.0</v>
      </c>
      <c r="W123" s="39">
        <v>0.0</v>
      </c>
      <c r="X123" s="39">
        <v>36000.0</v>
      </c>
      <c r="Y123" s="39">
        <v>0.0</v>
      </c>
      <c r="Z123" s="39">
        <v>0.0</v>
      </c>
      <c r="AA123" s="39">
        <v>0.0</v>
      </c>
      <c r="AB123" s="39">
        <v>0.0</v>
      </c>
      <c r="AC123" s="39">
        <v>0.0</v>
      </c>
      <c r="AD123" s="39">
        <v>0.0</v>
      </c>
      <c r="AE123" s="39">
        <v>0.0</v>
      </c>
      <c r="AF123" s="39">
        <v>0.0</v>
      </c>
      <c r="AG123" s="39">
        <v>0.0</v>
      </c>
      <c r="AH123" s="39">
        <v>0.0</v>
      </c>
      <c r="AI123" s="39">
        <v>0.0</v>
      </c>
      <c r="AJ123" s="39">
        <v>0.0</v>
      </c>
      <c r="AK123" s="39">
        <v>0.0</v>
      </c>
      <c r="AL123" s="39">
        <v>4.60892585355E11</v>
      </c>
      <c r="AM123" s="39" t="s">
        <v>1209</v>
      </c>
      <c r="AN123" s="42">
        <v>0.11</v>
      </c>
      <c r="AO123" s="43">
        <v>0.0</v>
      </c>
      <c r="AP123" s="39">
        <v>0.0</v>
      </c>
      <c r="AQ123" s="39">
        <v>0.0</v>
      </c>
      <c r="AR123" s="39">
        <v>0.0</v>
      </c>
      <c r="AS123" s="39">
        <v>8172.0</v>
      </c>
      <c r="AT123" s="39">
        <v>3420.0</v>
      </c>
      <c r="AU123" s="39">
        <v>4752.0</v>
      </c>
      <c r="AV123" s="39">
        <v>388.0</v>
      </c>
      <c r="AW123" s="39">
        <v>2000.0</v>
      </c>
      <c r="AX123" s="39">
        <v>0.0</v>
      </c>
      <c r="AY123" s="39">
        <v>0.0</v>
      </c>
      <c r="AZ123" s="39">
        <v>0.0</v>
      </c>
      <c r="BA123" s="39">
        <v>0.0</v>
      </c>
      <c r="BB123" s="39">
        <v>0.0</v>
      </c>
      <c r="BC123" s="39">
        <v>631.0</v>
      </c>
      <c r="BD123" s="39">
        <v>0.0</v>
      </c>
      <c r="BE123" s="39">
        <v>0.0</v>
      </c>
      <c r="BF123" s="39">
        <v>0.0</v>
      </c>
      <c r="BG123" s="39">
        <v>0.0</v>
      </c>
      <c r="BH123" s="39">
        <v>0.0</v>
      </c>
      <c r="BI123" s="44"/>
    </row>
    <row r="124">
      <c r="A124" s="38">
        <f t="shared" si="1"/>
        <v>45981</v>
      </c>
      <c r="B124" s="39">
        <v>123.0</v>
      </c>
      <c r="C124" s="39" t="s">
        <v>1600</v>
      </c>
      <c r="D124" s="39">
        <v>3.0</v>
      </c>
      <c r="E124" s="39">
        <v>2.653976678E9</v>
      </c>
      <c r="F124" s="39" t="s">
        <v>1204</v>
      </c>
      <c r="G124" s="39" t="s">
        <v>1601</v>
      </c>
      <c r="H124" s="39" t="s">
        <v>1602</v>
      </c>
      <c r="I124" s="40">
        <v>45981.0</v>
      </c>
      <c r="J124" s="40">
        <v>45981.0</v>
      </c>
      <c r="K124" s="40">
        <v>45982.0</v>
      </c>
      <c r="L124" s="41">
        <v>45984.0</v>
      </c>
      <c r="M124" s="41">
        <v>45984.0</v>
      </c>
      <c r="N124" s="45">
        <v>45986.0</v>
      </c>
      <c r="O124" s="39">
        <v>6.342749718E9</v>
      </c>
      <c r="P124" s="39" t="s">
        <v>1213</v>
      </c>
      <c r="Q124" s="39" t="s">
        <v>1251</v>
      </c>
      <c r="R124" s="39">
        <v>1.0</v>
      </c>
      <c r="S124" s="39">
        <v>23864.0</v>
      </c>
      <c r="T124" s="39">
        <v>59000.0</v>
      </c>
      <c r="U124" s="39">
        <v>0.0</v>
      </c>
      <c r="V124" s="39">
        <v>35136.0</v>
      </c>
      <c r="W124" s="39">
        <v>0.0</v>
      </c>
      <c r="X124" s="39">
        <v>59000.0</v>
      </c>
      <c r="Y124" s="39">
        <v>0.0</v>
      </c>
      <c r="Z124" s="39">
        <v>0.0</v>
      </c>
      <c r="AA124" s="39">
        <v>0.0</v>
      </c>
      <c r="AB124" s="39">
        <v>0.0</v>
      </c>
      <c r="AC124" s="39">
        <v>0.0</v>
      </c>
      <c r="AD124" s="39">
        <v>0.0</v>
      </c>
      <c r="AE124" s="39">
        <v>0.0</v>
      </c>
      <c r="AF124" s="39">
        <v>0.0</v>
      </c>
      <c r="AG124" s="39">
        <v>0.0</v>
      </c>
      <c r="AH124" s="39">
        <v>0.0</v>
      </c>
      <c r="AI124" s="39">
        <v>0.0</v>
      </c>
      <c r="AJ124" s="39">
        <v>0.0</v>
      </c>
      <c r="AK124" s="39">
        <v>0.0</v>
      </c>
      <c r="AL124" s="39">
        <v>4.6089258537E11</v>
      </c>
      <c r="AM124" s="39" t="s">
        <v>1209</v>
      </c>
      <c r="AN124" s="42">
        <v>0.09</v>
      </c>
      <c r="AO124" s="43">
        <v>2708.0</v>
      </c>
      <c r="AP124" s="39">
        <v>0.0</v>
      </c>
      <c r="AQ124" s="39">
        <v>0.0</v>
      </c>
      <c r="AR124" s="39">
        <v>0.0</v>
      </c>
      <c r="AS124" s="39">
        <v>30270.0</v>
      </c>
      <c r="AT124" s="39">
        <v>27100.0</v>
      </c>
      <c r="AU124" s="39">
        <v>3170.0</v>
      </c>
      <c r="AV124" s="39">
        <v>0.0</v>
      </c>
      <c r="AW124" s="39">
        <v>0.0</v>
      </c>
      <c r="AX124" s="39">
        <v>0.0</v>
      </c>
      <c r="AY124" s="39">
        <v>0.0</v>
      </c>
      <c r="AZ124" s="39">
        <v>0.0</v>
      </c>
      <c r="BA124" s="39">
        <v>0.0</v>
      </c>
      <c r="BB124" s="39">
        <v>0.0</v>
      </c>
      <c r="BC124" s="39">
        <v>2158.0</v>
      </c>
      <c r="BD124" s="39">
        <v>0.0</v>
      </c>
      <c r="BE124" s="39">
        <v>0.0</v>
      </c>
      <c r="BF124" s="39">
        <v>0.0</v>
      </c>
      <c r="BG124" s="39">
        <v>0.0</v>
      </c>
      <c r="BH124" s="39">
        <v>0.0</v>
      </c>
      <c r="BI124" s="44"/>
    </row>
    <row r="125">
      <c r="A125" s="38">
        <f t="shared" si="1"/>
        <v>45981</v>
      </c>
      <c r="B125" s="39">
        <v>124.0</v>
      </c>
      <c r="C125" s="39" t="s">
        <v>1603</v>
      </c>
      <c r="D125" s="39">
        <v>1.0</v>
      </c>
      <c r="E125" s="39">
        <v>2.65399902E9</v>
      </c>
      <c r="F125" s="39" t="s">
        <v>1204</v>
      </c>
      <c r="G125" s="39" t="s">
        <v>1604</v>
      </c>
      <c r="H125" s="39" t="s">
        <v>1605</v>
      </c>
      <c r="I125" s="40">
        <v>45981.0</v>
      </c>
      <c r="J125" s="40">
        <v>45981.0</v>
      </c>
      <c r="K125" s="40">
        <v>45982.0</v>
      </c>
      <c r="L125" s="41">
        <v>45990.0</v>
      </c>
      <c r="M125" s="41">
        <v>45990.0</v>
      </c>
      <c r="N125" s="45">
        <v>45993.0</v>
      </c>
      <c r="O125" s="39">
        <v>6.342749718E9</v>
      </c>
      <c r="P125" s="39" t="s">
        <v>1213</v>
      </c>
      <c r="Q125" s="39" t="s">
        <v>1606</v>
      </c>
      <c r="R125" s="39">
        <v>6.0</v>
      </c>
      <c r="S125" s="39">
        <v>142480.0</v>
      </c>
      <c r="T125" s="39">
        <v>354000.0</v>
      </c>
      <c r="U125" s="39">
        <v>0.0</v>
      </c>
      <c r="V125" s="39">
        <v>211520.0</v>
      </c>
      <c r="W125" s="39">
        <v>142480.0</v>
      </c>
      <c r="X125" s="39">
        <v>354000.0</v>
      </c>
      <c r="Y125" s="39">
        <v>0.0</v>
      </c>
      <c r="Z125" s="39">
        <v>0.0</v>
      </c>
      <c r="AA125" s="39">
        <v>0.0</v>
      </c>
      <c r="AB125" s="39">
        <v>0.0</v>
      </c>
      <c r="AC125" s="39">
        <v>0.0</v>
      </c>
      <c r="AD125" s="39">
        <v>0.0</v>
      </c>
      <c r="AE125" s="39">
        <v>0.0</v>
      </c>
      <c r="AF125" s="39">
        <v>0.0</v>
      </c>
      <c r="AG125" s="39">
        <v>0.0</v>
      </c>
      <c r="AH125" s="39">
        <v>0.0</v>
      </c>
      <c r="AI125" s="39">
        <v>0.0</v>
      </c>
      <c r="AJ125" s="39">
        <v>0.0</v>
      </c>
      <c r="AK125" s="39">
        <v>0.0</v>
      </c>
      <c r="AL125" s="39">
        <v>4.60892585381E11</v>
      </c>
      <c r="AM125" s="39" t="s">
        <v>1209</v>
      </c>
      <c r="AN125" s="42">
        <v>0.09</v>
      </c>
      <c r="AO125" s="43">
        <v>22260.0</v>
      </c>
      <c r="AP125" s="39">
        <v>0.0</v>
      </c>
      <c r="AQ125" s="39">
        <v>0.0</v>
      </c>
      <c r="AR125" s="39">
        <v>0.0</v>
      </c>
      <c r="AS125" s="39">
        <v>176600.0</v>
      </c>
      <c r="AT125" s="39">
        <v>164600.0</v>
      </c>
      <c r="AU125" s="39">
        <v>12000.0</v>
      </c>
      <c r="AV125" s="39">
        <v>0.0</v>
      </c>
      <c r="AW125" s="39">
        <v>12000.0</v>
      </c>
      <c r="AX125" s="39">
        <v>0.0</v>
      </c>
      <c r="AY125" s="39">
        <v>0.0</v>
      </c>
      <c r="AZ125" s="39">
        <v>0.0</v>
      </c>
      <c r="BA125" s="39">
        <v>0.0</v>
      </c>
      <c r="BB125" s="39">
        <v>0.0</v>
      </c>
      <c r="BC125" s="39">
        <v>660.0</v>
      </c>
      <c r="BD125" s="39">
        <v>0.0</v>
      </c>
      <c r="BE125" s="39">
        <v>0.0</v>
      </c>
      <c r="BF125" s="39">
        <v>0.0</v>
      </c>
      <c r="BG125" s="39">
        <v>0.0</v>
      </c>
      <c r="BH125" s="39">
        <v>0.0</v>
      </c>
      <c r="BI125" s="44"/>
    </row>
    <row r="126">
      <c r="A126" s="38">
        <f t="shared" si="1"/>
        <v>45981</v>
      </c>
      <c r="B126" s="39">
        <v>125.0</v>
      </c>
      <c r="C126" s="39" t="s">
        <v>1607</v>
      </c>
      <c r="D126" s="39">
        <v>6.0</v>
      </c>
      <c r="E126" s="39">
        <v>2.654010223E9</v>
      </c>
      <c r="F126" s="39" t="s">
        <v>1204</v>
      </c>
      <c r="G126" s="39" t="s">
        <v>1608</v>
      </c>
      <c r="H126" s="39" t="s">
        <v>1609</v>
      </c>
      <c r="I126" s="40">
        <v>45981.0</v>
      </c>
      <c r="J126" s="40">
        <v>45981.0</v>
      </c>
      <c r="K126" s="40">
        <v>45982.0</v>
      </c>
      <c r="L126" s="41">
        <v>45990.0</v>
      </c>
      <c r="M126" s="41">
        <v>45990.0</v>
      </c>
      <c r="N126" s="41">
        <v>45993.0</v>
      </c>
      <c r="O126" s="39">
        <v>1.721617852E9</v>
      </c>
      <c r="P126" s="39" t="s">
        <v>1610</v>
      </c>
      <c r="Q126" s="39" t="s">
        <v>1611</v>
      </c>
      <c r="R126" s="39">
        <v>2.0</v>
      </c>
      <c r="S126" s="39">
        <v>7542.0</v>
      </c>
      <c r="T126" s="39">
        <v>9800.0</v>
      </c>
      <c r="U126" s="39">
        <v>0.0</v>
      </c>
      <c r="V126" s="39">
        <v>2258.0</v>
      </c>
      <c r="W126" s="39">
        <v>0.0</v>
      </c>
      <c r="X126" s="39">
        <v>9800.0</v>
      </c>
      <c r="Y126" s="39">
        <v>0.0</v>
      </c>
      <c r="Z126" s="39">
        <v>0.0</v>
      </c>
      <c r="AA126" s="39">
        <v>0.0</v>
      </c>
      <c r="AB126" s="39">
        <v>0.0</v>
      </c>
      <c r="AC126" s="39">
        <v>0.0</v>
      </c>
      <c r="AD126" s="39">
        <v>0.0</v>
      </c>
      <c r="AE126" s="39">
        <v>0.0</v>
      </c>
      <c r="AF126" s="39">
        <v>0.0</v>
      </c>
      <c r="AG126" s="39">
        <v>0.0</v>
      </c>
      <c r="AH126" s="39">
        <v>0.0</v>
      </c>
      <c r="AI126" s="39">
        <v>0.0</v>
      </c>
      <c r="AJ126" s="39">
        <v>0.0</v>
      </c>
      <c r="AK126" s="39">
        <v>0.0</v>
      </c>
      <c r="AL126" s="39">
        <v>4.60893644024E11</v>
      </c>
      <c r="AM126" s="39" t="s">
        <v>1209</v>
      </c>
      <c r="AN126" s="42">
        <v>0.13</v>
      </c>
      <c r="AO126" s="39">
        <v>962.0</v>
      </c>
      <c r="AP126" s="39">
        <v>0.0</v>
      </c>
      <c r="AQ126" s="39">
        <v>0.0</v>
      </c>
      <c r="AR126" s="39">
        <v>0.0</v>
      </c>
      <c r="AS126" s="39">
        <v>980.0</v>
      </c>
      <c r="AT126" s="39">
        <v>590.0</v>
      </c>
      <c r="AU126" s="39">
        <v>390.0</v>
      </c>
      <c r="AV126" s="39">
        <v>0.0</v>
      </c>
      <c r="AW126" s="39">
        <v>0.0</v>
      </c>
      <c r="AX126" s="39">
        <v>0.0</v>
      </c>
      <c r="AY126" s="39">
        <v>0.0</v>
      </c>
      <c r="AZ126" s="39">
        <v>0.0</v>
      </c>
      <c r="BA126" s="39">
        <v>0.0</v>
      </c>
      <c r="BB126" s="39">
        <v>0.0</v>
      </c>
      <c r="BC126" s="39">
        <v>316.0</v>
      </c>
      <c r="BD126" s="39">
        <v>0.0</v>
      </c>
      <c r="BE126" s="39">
        <v>0.0</v>
      </c>
      <c r="BF126" s="39">
        <v>0.0</v>
      </c>
      <c r="BG126" s="39">
        <v>0.0</v>
      </c>
      <c r="BH126" s="39">
        <v>0.0</v>
      </c>
      <c r="BI126" s="44"/>
    </row>
    <row r="127">
      <c r="A127" s="38">
        <f t="shared" si="1"/>
        <v>45981</v>
      </c>
      <c r="B127" s="39">
        <v>126.0</v>
      </c>
      <c r="C127" s="39" t="s">
        <v>1612</v>
      </c>
      <c r="D127" s="39">
        <v>1.0</v>
      </c>
      <c r="E127" s="39">
        <v>2.654019268E9</v>
      </c>
      <c r="F127" s="39" t="s">
        <v>1204</v>
      </c>
      <c r="G127" s="39" t="s">
        <v>1613</v>
      </c>
      <c r="H127" s="39" t="s">
        <v>1614</v>
      </c>
      <c r="I127" s="40">
        <v>45981.0</v>
      </c>
      <c r="J127" s="40">
        <v>45981.0</v>
      </c>
      <c r="K127" s="40">
        <v>45982.0</v>
      </c>
      <c r="L127" s="41">
        <v>45985.0</v>
      </c>
      <c r="M127" s="41">
        <v>45985.0</v>
      </c>
      <c r="N127" s="45">
        <v>45987.0</v>
      </c>
      <c r="O127" s="39">
        <v>8.218722209E9</v>
      </c>
      <c r="P127" s="39" t="s">
        <v>1615</v>
      </c>
      <c r="Q127" s="39" t="s">
        <v>1616</v>
      </c>
      <c r="R127" s="39">
        <v>1.0</v>
      </c>
      <c r="S127" s="39">
        <v>22876.0</v>
      </c>
      <c r="T127" s="39">
        <v>28000.0</v>
      </c>
      <c r="U127" s="39">
        <v>0.0</v>
      </c>
      <c r="V127" s="39">
        <v>5124.0</v>
      </c>
      <c r="W127" s="39">
        <v>17343.0</v>
      </c>
      <c r="X127" s="39">
        <v>28000.0</v>
      </c>
      <c r="Y127" s="39">
        <v>0.0</v>
      </c>
      <c r="Z127" s="39">
        <v>0.0</v>
      </c>
      <c r="AA127" s="39">
        <v>0.0</v>
      </c>
      <c r="AB127" s="39">
        <v>0.0</v>
      </c>
      <c r="AC127" s="39">
        <v>0.0</v>
      </c>
      <c r="AD127" s="39">
        <v>0.0</v>
      </c>
      <c r="AE127" s="39">
        <v>0.0</v>
      </c>
      <c r="AF127" s="39">
        <v>0.0</v>
      </c>
      <c r="AG127" s="39">
        <v>0.0</v>
      </c>
      <c r="AH127" s="39">
        <v>0.0</v>
      </c>
      <c r="AI127" s="39">
        <v>0.0</v>
      </c>
      <c r="AJ127" s="39">
        <v>0.0</v>
      </c>
      <c r="AK127" s="39">
        <v>0.0</v>
      </c>
      <c r="AL127" s="39">
        <v>4.60893644035E11</v>
      </c>
      <c r="AM127" s="39" t="s">
        <v>1209</v>
      </c>
      <c r="AN127" s="42">
        <v>0.09</v>
      </c>
      <c r="AO127" s="43">
        <v>2520.0</v>
      </c>
      <c r="AP127" s="39">
        <v>0.0</v>
      </c>
      <c r="AQ127" s="39">
        <v>0.0</v>
      </c>
      <c r="AR127" s="39">
        <v>0.0</v>
      </c>
      <c r="AS127" s="39">
        <v>2100.0</v>
      </c>
      <c r="AT127" s="39">
        <v>2100.0</v>
      </c>
      <c r="AU127" s="39">
        <v>0.0</v>
      </c>
      <c r="AV127" s="39">
        <v>0.0</v>
      </c>
      <c r="AW127" s="39">
        <v>0.0</v>
      </c>
      <c r="AX127" s="39">
        <v>0.0</v>
      </c>
      <c r="AY127" s="39">
        <v>0.0</v>
      </c>
      <c r="AZ127" s="39">
        <v>0.0</v>
      </c>
      <c r="BA127" s="39">
        <v>0.0</v>
      </c>
      <c r="BB127" s="39">
        <v>0.0</v>
      </c>
      <c r="BC127" s="39">
        <v>504.0</v>
      </c>
      <c r="BD127" s="39">
        <v>0.0</v>
      </c>
      <c r="BE127" s="39">
        <v>0.0</v>
      </c>
      <c r="BF127" s="39">
        <v>0.0</v>
      </c>
      <c r="BG127" s="39">
        <v>0.0</v>
      </c>
      <c r="BH127" s="39">
        <v>0.0</v>
      </c>
      <c r="BI127" s="44"/>
    </row>
    <row r="128">
      <c r="A128" s="38">
        <f t="shared" si="1"/>
        <v>45981</v>
      </c>
      <c r="B128" s="39">
        <v>127.0</v>
      </c>
      <c r="C128" s="39" t="s">
        <v>1617</v>
      </c>
      <c r="D128" s="39">
        <v>1.0</v>
      </c>
      <c r="E128" s="39">
        <v>2.654025196E9</v>
      </c>
      <c r="F128" s="39" t="s">
        <v>1204</v>
      </c>
      <c r="G128" s="39" t="s">
        <v>1618</v>
      </c>
      <c r="H128" s="39" t="s">
        <v>1619</v>
      </c>
      <c r="I128" s="40">
        <v>45981.0</v>
      </c>
      <c r="J128" s="40">
        <v>45981.0</v>
      </c>
      <c r="K128" s="40">
        <v>45982.0</v>
      </c>
      <c r="L128" s="41">
        <v>45990.0</v>
      </c>
      <c r="M128" s="41">
        <v>45990.0</v>
      </c>
      <c r="N128" s="41">
        <v>45993.0</v>
      </c>
      <c r="O128" s="39">
        <v>4.232257167E9</v>
      </c>
      <c r="P128" s="39" t="s">
        <v>1620</v>
      </c>
      <c r="Q128" s="39" t="s">
        <v>1208</v>
      </c>
      <c r="R128" s="39">
        <v>1.0</v>
      </c>
      <c r="S128" s="39">
        <v>14275.0</v>
      </c>
      <c r="T128" s="39">
        <v>39900.0</v>
      </c>
      <c r="U128" s="39">
        <v>0.0</v>
      </c>
      <c r="V128" s="39">
        <v>25625.0</v>
      </c>
      <c r="W128" s="39">
        <v>14275.0</v>
      </c>
      <c r="X128" s="39">
        <v>39900.0</v>
      </c>
      <c r="Y128" s="39">
        <v>0.0</v>
      </c>
      <c r="Z128" s="39">
        <v>0.0</v>
      </c>
      <c r="AA128" s="39">
        <v>0.0</v>
      </c>
      <c r="AB128" s="39">
        <v>0.0</v>
      </c>
      <c r="AC128" s="39">
        <v>0.0</v>
      </c>
      <c r="AD128" s="39">
        <v>0.0</v>
      </c>
      <c r="AE128" s="39">
        <v>0.0</v>
      </c>
      <c r="AF128" s="39">
        <v>0.0</v>
      </c>
      <c r="AG128" s="39">
        <v>0.0</v>
      </c>
      <c r="AH128" s="39">
        <v>0.0</v>
      </c>
      <c r="AI128" s="39">
        <v>0.0</v>
      </c>
      <c r="AJ128" s="39">
        <v>0.0</v>
      </c>
      <c r="AK128" s="39">
        <v>0.0</v>
      </c>
      <c r="AL128" s="39">
        <v>4.60893924735E11</v>
      </c>
      <c r="AM128" s="39" t="s">
        <v>1209</v>
      </c>
      <c r="AN128" s="42">
        <v>0.13</v>
      </c>
      <c r="AO128" s="43">
        <v>5187.0</v>
      </c>
      <c r="AP128" s="39">
        <v>0.0</v>
      </c>
      <c r="AQ128" s="39">
        <v>0.0</v>
      </c>
      <c r="AR128" s="39">
        <v>0.0</v>
      </c>
      <c r="AS128" s="39">
        <v>20000.0</v>
      </c>
      <c r="AT128" s="39">
        <v>20000.0</v>
      </c>
      <c r="AU128" s="39">
        <v>0.0</v>
      </c>
      <c r="AV128" s="39">
        <v>0.0</v>
      </c>
      <c r="AW128" s="39">
        <v>0.0</v>
      </c>
      <c r="AX128" s="39">
        <v>0.0</v>
      </c>
      <c r="AY128" s="39">
        <v>0.0</v>
      </c>
      <c r="AZ128" s="39">
        <v>0.0</v>
      </c>
      <c r="BA128" s="39">
        <v>0.0</v>
      </c>
      <c r="BB128" s="39">
        <v>0.0</v>
      </c>
      <c r="BC128" s="39">
        <v>438.0</v>
      </c>
      <c r="BD128" s="39">
        <v>0.0</v>
      </c>
      <c r="BE128" s="39">
        <v>0.0</v>
      </c>
      <c r="BF128" s="39">
        <v>0.0</v>
      </c>
      <c r="BG128" s="39">
        <v>0.0</v>
      </c>
      <c r="BH128" s="39">
        <v>0.0</v>
      </c>
      <c r="BI128" s="44"/>
    </row>
    <row r="129">
      <c r="A129" s="38">
        <f t="shared" si="1"/>
        <v>45981</v>
      </c>
      <c r="B129" s="39">
        <v>128.0</v>
      </c>
      <c r="C129" s="39" t="s">
        <v>1621</v>
      </c>
      <c r="D129" s="39">
        <v>1.0</v>
      </c>
      <c r="E129" s="39">
        <v>2.654060594E9</v>
      </c>
      <c r="F129" s="39" t="s">
        <v>1204</v>
      </c>
      <c r="G129" s="39" t="s">
        <v>1622</v>
      </c>
      <c r="H129" s="39" t="s">
        <v>1623</v>
      </c>
      <c r="I129" s="40">
        <v>45981.0</v>
      </c>
      <c r="J129" s="40">
        <v>45982.0</v>
      </c>
      <c r="K129" s="40">
        <v>45983.0</v>
      </c>
      <c r="L129" s="41">
        <v>45991.0</v>
      </c>
      <c r="M129" s="41">
        <v>45991.0</v>
      </c>
      <c r="N129" s="41">
        <v>45993.0</v>
      </c>
      <c r="O129" s="39">
        <v>6.198835482E9</v>
      </c>
      <c r="P129" s="39" t="s">
        <v>1624</v>
      </c>
      <c r="Q129" s="39" t="s">
        <v>1219</v>
      </c>
      <c r="R129" s="39">
        <v>1.0</v>
      </c>
      <c r="S129" s="39">
        <v>29640.0</v>
      </c>
      <c r="T129" s="39">
        <v>35000.0</v>
      </c>
      <c r="U129" s="39">
        <v>0.0</v>
      </c>
      <c r="V129" s="39">
        <v>5360.0</v>
      </c>
      <c r="W129" s="39">
        <v>0.0</v>
      </c>
      <c r="X129" s="39">
        <v>35000.0</v>
      </c>
      <c r="Y129" s="39">
        <v>0.0</v>
      </c>
      <c r="Z129" s="39">
        <v>0.0</v>
      </c>
      <c r="AA129" s="39">
        <v>0.0</v>
      </c>
      <c r="AB129" s="39">
        <v>0.0</v>
      </c>
      <c r="AC129" s="39">
        <v>0.0</v>
      </c>
      <c r="AD129" s="39">
        <v>0.0</v>
      </c>
      <c r="AE129" s="39">
        <v>0.0</v>
      </c>
      <c r="AF129" s="39">
        <v>0.0</v>
      </c>
      <c r="AG129" s="39">
        <v>0.0</v>
      </c>
      <c r="AH129" s="39">
        <v>0.0</v>
      </c>
      <c r="AI129" s="39">
        <v>0.0</v>
      </c>
      <c r="AJ129" s="39">
        <v>0.0</v>
      </c>
      <c r="AK129" s="39">
        <v>0.0</v>
      </c>
      <c r="AL129" s="39">
        <v>4.60898079961E11</v>
      </c>
      <c r="AM129" s="39" t="s">
        <v>1209</v>
      </c>
      <c r="AN129" s="42">
        <v>0.09</v>
      </c>
      <c r="AO129" s="43">
        <v>3150.0</v>
      </c>
      <c r="AP129" s="39">
        <v>0.0</v>
      </c>
      <c r="AQ129" s="39">
        <v>0.0</v>
      </c>
      <c r="AR129" s="39">
        <v>0.0</v>
      </c>
      <c r="AS129" s="39">
        <v>2100.0</v>
      </c>
      <c r="AT129" s="39">
        <v>2100.0</v>
      </c>
      <c r="AU129" s="39">
        <v>0.0</v>
      </c>
      <c r="AV129" s="39">
        <v>0.0</v>
      </c>
      <c r="AW129" s="39">
        <v>0.0</v>
      </c>
      <c r="AX129" s="39">
        <v>0.0</v>
      </c>
      <c r="AY129" s="39">
        <v>0.0</v>
      </c>
      <c r="AZ129" s="39">
        <v>0.0</v>
      </c>
      <c r="BA129" s="39">
        <v>0.0</v>
      </c>
      <c r="BB129" s="39">
        <v>0.0</v>
      </c>
      <c r="BC129" s="39">
        <v>110.0</v>
      </c>
      <c r="BD129" s="39">
        <v>0.0</v>
      </c>
      <c r="BE129" s="39">
        <v>0.0</v>
      </c>
      <c r="BF129" s="39">
        <v>0.0</v>
      </c>
      <c r="BG129" s="39">
        <v>0.0</v>
      </c>
      <c r="BH129" s="39">
        <v>0.0</v>
      </c>
      <c r="BI129" s="44"/>
    </row>
    <row r="130">
      <c r="A130" s="38">
        <f t="shared" si="1"/>
        <v>45981</v>
      </c>
      <c r="B130" s="39">
        <v>129.0</v>
      </c>
      <c r="C130" s="39" t="s">
        <v>1625</v>
      </c>
      <c r="D130" s="39">
        <v>1.0</v>
      </c>
      <c r="E130" s="39">
        <v>2.654071409E9</v>
      </c>
      <c r="F130" s="39" t="s">
        <v>1204</v>
      </c>
      <c r="G130" s="39" t="s">
        <v>1626</v>
      </c>
      <c r="H130" s="39" t="s">
        <v>1627</v>
      </c>
      <c r="I130" s="40">
        <v>45981.0</v>
      </c>
      <c r="J130" s="40">
        <v>45982.0</v>
      </c>
      <c r="K130" s="40">
        <v>45984.0</v>
      </c>
      <c r="L130" s="45">
        <v>45992.0</v>
      </c>
      <c r="M130" s="45">
        <v>45992.0</v>
      </c>
      <c r="N130" s="45">
        <v>45994.0</v>
      </c>
      <c r="O130" s="39">
        <v>8.718794512E9</v>
      </c>
      <c r="P130" s="39" t="s">
        <v>1551</v>
      </c>
      <c r="Q130" s="39" t="s">
        <v>1259</v>
      </c>
      <c r="R130" s="39">
        <v>1.0</v>
      </c>
      <c r="S130" s="39">
        <v>125110.0</v>
      </c>
      <c r="T130" s="39">
        <v>145000.0</v>
      </c>
      <c r="U130" s="39">
        <v>0.0</v>
      </c>
      <c r="V130" s="39">
        <v>19890.0</v>
      </c>
      <c r="W130" s="39">
        <v>0.0</v>
      </c>
      <c r="X130" s="39">
        <v>145000.0</v>
      </c>
      <c r="Y130" s="39">
        <v>0.0</v>
      </c>
      <c r="Z130" s="39">
        <v>0.0</v>
      </c>
      <c r="AA130" s="39">
        <v>0.0</v>
      </c>
      <c r="AB130" s="39">
        <v>0.0</v>
      </c>
      <c r="AC130" s="39">
        <v>0.0</v>
      </c>
      <c r="AD130" s="39">
        <v>0.0</v>
      </c>
      <c r="AE130" s="39">
        <v>0.0</v>
      </c>
      <c r="AF130" s="39">
        <v>0.0</v>
      </c>
      <c r="AG130" s="39">
        <v>0.0</v>
      </c>
      <c r="AH130" s="39">
        <v>0.0</v>
      </c>
      <c r="AI130" s="39">
        <v>0.0</v>
      </c>
      <c r="AJ130" s="39">
        <v>0.0</v>
      </c>
      <c r="AK130" s="39">
        <v>0.0</v>
      </c>
      <c r="AL130" s="39">
        <v>5.3063934416E11</v>
      </c>
      <c r="AM130" s="39" t="s">
        <v>1209</v>
      </c>
      <c r="AN130" s="42">
        <v>0.09</v>
      </c>
      <c r="AO130" s="43">
        <v>13050.0</v>
      </c>
      <c r="AP130" s="39">
        <v>0.0</v>
      </c>
      <c r="AQ130" s="39">
        <v>0.0</v>
      </c>
      <c r="AR130" s="39">
        <v>0.0</v>
      </c>
      <c r="AS130" s="39">
        <v>2000.0</v>
      </c>
      <c r="AT130" s="39">
        <v>2000.0</v>
      </c>
      <c r="AU130" s="39">
        <v>0.0</v>
      </c>
      <c r="AV130" s="39">
        <v>0.0</v>
      </c>
      <c r="AW130" s="39">
        <v>0.0</v>
      </c>
      <c r="AX130" s="39">
        <v>0.0</v>
      </c>
      <c r="AY130" s="39">
        <v>0.0</v>
      </c>
      <c r="AZ130" s="39">
        <v>0.0</v>
      </c>
      <c r="BA130" s="39">
        <v>0.0</v>
      </c>
      <c r="BB130" s="39">
        <v>0.0</v>
      </c>
      <c r="BC130" s="39">
        <v>4840.0</v>
      </c>
      <c r="BD130" s="39">
        <v>0.0</v>
      </c>
      <c r="BE130" s="39">
        <v>0.0</v>
      </c>
      <c r="BF130" s="39">
        <v>0.0</v>
      </c>
      <c r="BG130" s="39">
        <v>0.0</v>
      </c>
      <c r="BH130" s="39">
        <v>0.0</v>
      </c>
      <c r="BI130" s="47"/>
    </row>
    <row r="131">
      <c r="A131" s="38">
        <f t="shared" si="1"/>
        <v>45981</v>
      </c>
      <c r="B131" s="39">
        <v>130.0</v>
      </c>
      <c r="C131" s="39" t="s">
        <v>1628</v>
      </c>
      <c r="D131" s="39">
        <v>1.0</v>
      </c>
      <c r="E131" s="39">
        <v>2.65408777E9</v>
      </c>
      <c r="F131" s="39" t="s">
        <v>1204</v>
      </c>
      <c r="G131" s="39" t="s">
        <v>1629</v>
      </c>
      <c r="H131" s="39" t="s">
        <v>1630</v>
      </c>
      <c r="I131" s="40">
        <v>45981.0</v>
      </c>
      <c r="J131" s="40">
        <v>45982.0</v>
      </c>
      <c r="K131" s="40">
        <v>45983.0</v>
      </c>
      <c r="L131" s="41">
        <v>45991.0</v>
      </c>
      <c r="M131" s="41">
        <v>45991.0</v>
      </c>
      <c r="N131" s="45">
        <v>45993.0</v>
      </c>
      <c r="O131" s="39">
        <v>5.95337221E9</v>
      </c>
      <c r="P131" s="39" t="s">
        <v>1426</v>
      </c>
      <c r="Q131" s="39" t="s">
        <v>1427</v>
      </c>
      <c r="R131" s="39">
        <v>1.0</v>
      </c>
      <c r="S131" s="39">
        <v>26776.0</v>
      </c>
      <c r="T131" s="39">
        <v>30000.0</v>
      </c>
      <c r="U131" s="39">
        <v>0.0</v>
      </c>
      <c r="V131" s="39">
        <v>3224.0</v>
      </c>
      <c r="W131" s="39">
        <v>0.0</v>
      </c>
      <c r="X131" s="39">
        <v>30000.0</v>
      </c>
      <c r="Y131" s="39">
        <v>0.0</v>
      </c>
      <c r="Z131" s="39">
        <v>0.0</v>
      </c>
      <c r="AA131" s="39">
        <v>0.0</v>
      </c>
      <c r="AB131" s="39">
        <v>0.0</v>
      </c>
      <c r="AC131" s="39">
        <v>0.0</v>
      </c>
      <c r="AD131" s="39">
        <v>0.0</v>
      </c>
      <c r="AE131" s="39">
        <v>0.0</v>
      </c>
      <c r="AF131" s="39">
        <v>0.0</v>
      </c>
      <c r="AG131" s="39">
        <v>0.0</v>
      </c>
      <c r="AH131" s="39">
        <v>0.0</v>
      </c>
      <c r="AI131" s="39">
        <v>0.0</v>
      </c>
      <c r="AJ131" s="39">
        <v>0.0</v>
      </c>
      <c r="AK131" s="39">
        <v>0.0</v>
      </c>
      <c r="AL131" s="39">
        <v>4.60898079972E11</v>
      </c>
      <c r="AM131" s="39" t="s">
        <v>1209</v>
      </c>
      <c r="AN131" s="42">
        <v>0.09</v>
      </c>
      <c r="AO131" s="43">
        <v>1884.0</v>
      </c>
      <c r="AP131" s="39">
        <v>0.0</v>
      </c>
      <c r="AQ131" s="39">
        <v>0.0</v>
      </c>
      <c r="AR131" s="39">
        <v>0.0</v>
      </c>
      <c r="AS131" s="39">
        <v>1120.0</v>
      </c>
      <c r="AT131" s="39">
        <v>100.0</v>
      </c>
      <c r="AU131" s="39">
        <v>1020.0</v>
      </c>
      <c r="AV131" s="39">
        <v>0.0</v>
      </c>
      <c r="AW131" s="39">
        <v>0.0</v>
      </c>
      <c r="AX131" s="39">
        <v>0.0</v>
      </c>
      <c r="AY131" s="39">
        <v>0.0</v>
      </c>
      <c r="AZ131" s="39">
        <v>0.0</v>
      </c>
      <c r="BA131" s="39">
        <v>0.0</v>
      </c>
      <c r="BB131" s="39">
        <v>0.0</v>
      </c>
      <c r="BC131" s="39">
        <v>220.0</v>
      </c>
      <c r="BD131" s="39">
        <v>0.0</v>
      </c>
      <c r="BE131" s="39">
        <v>0.0</v>
      </c>
      <c r="BF131" s="39">
        <v>0.0</v>
      </c>
      <c r="BG131" s="39">
        <v>0.0</v>
      </c>
      <c r="BH131" s="39">
        <v>0.0</v>
      </c>
      <c r="BI131" s="47"/>
    </row>
    <row r="132">
      <c r="A132" s="38">
        <f t="shared" si="1"/>
        <v>45981</v>
      </c>
      <c r="B132" s="39">
        <v>131.0</v>
      </c>
      <c r="C132" s="39" t="s">
        <v>1631</v>
      </c>
      <c r="D132" s="39">
        <v>1.0</v>
      </c>
      <c r="E132" s="39">
        <v>2.654111083E9</v>
      </c>
      <c r="F132" s="39" t="s">
        <v>1204</v>
      </c>
      <c r="G132" s="39" t="s">
        <v>1632</v>
      </c>
      <c r="H132" s="39" t="s">
        <v>1633</v>
      </c>
      <c r="I132" s="40">
        <v>45981.0</v>
      </c>
      <c r="J132" s="40">
        <v>45982.0</v>
      </c>
      <c r="K132" s="40">
        <v>45983.0</v>
      </c>
      <c r="L132" s="41">
        <v>45991.0</v>
      </c>
      <c r="M132" s="41">
        <v>45991.0</v>
      </c>
      <c r="N132" s="45">
        <v>45993.0</v>
      </c>
      <c r="O132" s="39">
        <v>4.232257167E9</v>
      </c>
      <c r="P132" s="39" t="s">
        <v>1620</v>
      </c>
      <c r="Q132" s="39" t="s">
        <v>1208</v>
      </c>
      <c r="R132" s="39">
        <v>1.0</v>
      </c>
      <c r="S132" s="39">
        <v>14275.0</v>
      </c>
      <c r="T132" s="39">
        <v>39900.0</v>
      </c>
      <c r="U132" s="39">
        <v>0.0</v>
      </c>
      <c r="V132" s="39">
        <v>25625.0</v>
      </c>
      <c r="W132" s="39">
        <v>14275.0</v>
      </c>
      <c r="X132" s="39">
        <v>39900.0</v>
      </c>
      <c r="Y132" s="39">
        <v>0.0</v>
      </c>
      <c r="Z132" s="39">
        <v>0.0</v>
      </c>
      <c r="AA132" s="39">
        <v>0.0</v>
      </c>
      <c r="AB132" s="39">
        <v>0.0</v>
      </c>
      <c r="AC132" s="39">
        <v>0.0</v>
      </c>
      <c r="AD132" s="39">
        <v>0.0</v>
      </c>
      <c r="AE132" s="39">
        <v>0.0</v>
      </c>
      <c r="AF132" s="39">
        <v>0.0</v>
      </c>
      <c r="AG132" s="39">
        <v>0.0</v>
      </c>
      <c r="AH132" s="39">
        <v>0.0</v>
      </c>
      <c r="AI132" s="39">
        <v>0.0</v>
      </c>
      <c r="AJ132" s="39">
        <v>0.0</v>
      </c>
      <c r="AK132" s="39">
        <v>0.0</v>
      </c>
      <c r="AL132" s="39">
        <v>4.60898079983E11</v>
      </c>
      <c r="AM132" s="39" t="s">
        <v>1209</v>
      </c>
      <c r="AN132" s="42">
        <v>0.13</v>
      </c>
      <c r="AO132" s="43">
        <v>5187.0</v>
      </c>
      <c r="AP132" s="39">
        <v>0.0</v>
      </c>
      <c r="AQ132" s="39">
        <v>0.0</v>
      </c>
      <c r="AR132" s="39">
        <v>0.0</v>
      </c>
      <c r="AS132" s="39">
        <v>20000.0</v>
      </c>
      <c r="AT132" s="39">
        <v>20000.0</v>
      </c>
      <c r="AU132" s="39">
        <v>0.0</v>
      </c>
      <c r="AV132" s="39">
        <v>0.0</v>
      </c>
      <c r="AW132" s="39">
        <v>0.0</v>
      </c>
      <c r="AX132" s="39">
        <v>0.0</v>
      </c>
      <c r="AY132" s="39">
        <v>0.0</v>
      </c>
      <c r="AZ132" s="39">
        <v>0.0</v>
      </c>
      <c r="BA132" s="39">
        <v>0.0</v>
      </c>
      <c r="BB132" s="39">
        <v>0.0</v>
      </c>
      <c r="BC132" s="39">
        <v>438.0</v>
      </c>
      <c r="BD132" s="39">
        <v>0.0</v>
      </c>
      <c r="BE132" s="39">
        <v>0.0</v>
      </c>
      <c r="BF132" s="39">
        <v>0.0</v>
      </c>
      <c r="BG132" s="39">
        <v>0.0</v>
      </c>
      <c r="BH132" s="39">
        <v>0.0</v>
      </c>
      <c r="BI132" s="47"/>
    </row>
    <row r="133">
      <c r="A133" s="38">
        <f t="shared" si="1"/>
        <v>45981</v>
      </c>
      <c r="B133" s="39">
        <v>132.0</v>
      </c>
      <c r="C133" s="39" t="s">
        <v>1634</v>
      </c>
      <c r="D133" s="39">
        <v>1.0</v>
      </c>
      <c r="E133" s="39">
        <v>2.654113076E9</v>
      </c>
      <c r="F133" s="39" t="s">
        <v>1204</v>
      </c>
      <c r="G133" s="39" t="s">
        <v>1635</v>
      </c>
      <c r="H133" s="39" t="s">
        <v>1636</v>
      </c>
      <c r="I133" s="40">
        <v>45981.0</v>
      </c>
      <c r="J133" s="40">
        <v>45982.0</v>
      </c>
      <c r="K133" s="40">
        <v>45983.0</v>
      </c>
      <c r="L133" s="41">
        <v>45984.0</v>
      </c>
      <c r="M133" s="41">
        <v>45984.0</v>
      </c>
      <c r="N133" s="41">
        <v>45986.0</v>
      </c>
      <c r="O133" s="39">
        <v>7.996735307E9</v>
      </c>
      <c r="P133" s="39" t="s">
        <v>1416</v>
      </c>
      <c r="Q133" s="39" t="s">
        <v>1637</v>
      </c>
      <c r="R133" s="39">
        <v>1.0</v>
      </c>
      <c r="S133" s="39">
        <v>13065.0</v>
      </c>
      <c r="T133" s="39">
        <v>15000.0</v>
      </c>
      <c r="U133" s="39">
        <v>0.0</v>
      </c>
      <c r="V133" s="39">
        <v>1935.0</v>
      </c>
      <c r="W133" s="39">
        <v>13065.0</v>
      </c>
      <c r="X133" s="39">
        <v>15000.0</v>
      </c>
      <c r="Y133" s="39">
        <v>0.0</v>
      </c>
      <c r="Z133" s="39">
        <v>0.0</v>
      </c>
      <c r="AA133" s="39">
        <v>0.0</v>
      </c>
      <c r="AB133" s="39">
        <v>0.0</v>
      </c>
      <c r="AC133" s="39">
        <v>0.0</v>
      </c>
      <c r="AD133" s="39">
        <v>0.0</v>
      </c>
      <c r="AE133" s="39">
        <v>0.0</v>
      </c>
      <c r="AF133" s="39">
        <v>0.0</v>
      </c>
      <c r="AG133" s="39">
        <v>0.0</v>
      </c>
      <c r="AH133" s="39">
        <v>0.0</v>
      </c>
      <c r="AI133" s="39">
        <v>0.0</v>
      </c>
      <c r="AJ133" s="39">
        <v>0.0</v>
      </c>
      <c r="AK133" s="39">
        <v>0.0</v>
      </c>
      <c r="AL133" s="39">
        <v>4.60898079994E11</v>
      </c>
      <c r="AM133" s="39" t="s">
        <v>1209</v>
      </c>
      <c r="AN133" s="42">
        <v>0.09</v>
      </c>
      <c r="AO133" s="43">
        <v>1350.0</v>
      </c>
      <c r="AP133" s="39">
        <v>0.0</v>
      </c>
      <c r="AQ133" s="39">
        <v>0.0</v>
      </c>
      <c r="AR133" s="39">
        <v>0.0</v>
      </c>
      <c r="AS133" s="39">
        <v>0.0</v>
      </c>
      <c r="AT133" s="39">
        <v>0.0</v>
      </c>
      <c r="AU133" s="39">
        <v>0.0</v>
      </c>
      <c r="AV133" s="39">
        <v>0.0</v>
      </c>
      <c r="AW133" s="39">
        <v>0.0</v>
      </c>
      <c r="AX133" s="39">
        <v>0.0</v>
      </c>
      <c r="AY133" s="39">
        <v>0.0</v>
      </c>
      <c r="AZ133" s="39">
        <v>0.0</v>
      </c>
      <c r="BA133" s="39">
        <v>0.0</v>
      </c>
      <c r="BB133" s="39">
        <v>0.0</v>
      </c>
      <c r="BC133" s="39">
        <v>585.0</v>
      </c>
      <c r="BD133" s="39">
        <v>0.0</v>
      </c>
      <c r="BE133" s="39">
        <v>0.0</v>
      </c>
      <c r="BF133" s="39">
        <v>0.0</v>
      </c>
      <c r="BG133" s="39">
        <v>0.0</v>
      </c>
      <c r="BH133" s="39">
        <v>0.0</v>
      </c>
      <c r="BI133" s="47"/>
    </row>
    <row r="134">
      <c r="A134" s="38">
        <f t="shared" si="1"/>
        <v>45982</v>
      </c>
      <c r="B134" s="39">
        <v>133.0</v>
      </c>
      <c r="C134" s="39" t="s">
        <v>1638</v>
      </c>
      <c r="D134" s="39">
        <v>1.0</v>
      </c>
      <c r="E134" s="39">
        <v>2.654160186E9</v>
      </c>
      <c r="F134" s="39" t="s">
        <v>1204</v>
      </c>
      <c r="G134" s="39" t="s">
        <v>1639</v>
      </c>
      <c r="H134" s="39" t="s">
        <v>1640</v>
      </c>
      <c r="I134" s="40">
        <v>45982.0</v>
      </c>
      <c r="J134" s="40">
        <v>45982.0</v>
      </c>
      <c r="K134" s="40">
        <v>45983.0</v>
      </c>
      <c r="L134" s="41">
        <v>45987.0</v>
      </c>
      <c r="M134" s="41">
        <v>45987.0</v>
      </c>
      <c r="N134" s="41">
        <v>45989.0</v>
      </c>
      <c r="O134" s="39">
        <v>5.95337221E9</v>
      </c>
      <c r="P134" s="39" t="s">
        <v>1426</v>
      </c>
      <c r="Q134" s="39" t="s">
        <v>1641</v>
      </c>
      <c r="R134" s="39">
        <v>1.0</v>
      </c>
      <c r="S134" s="39">
        <v>26776.0</v>
      </c>
      <c r="T134" s="39">
        <v>30000.0</v>
      </c>
      <c r="U134" s="39">
        <v>0.0</v>
      </c>
      <c r="V134" s="39">
        <v>3224.0</v>
      </c>
      <c r="W134" s="39">
        <v>0.0</v>
      </c>
      <c r="X134" s="39">
        <v>30000.0</v>
      </c>
      <c r="Y134" s="39">
        <v>0.0</v>
      </c>
      <c r="Z134" s="39">
        <v>0.0</v>
      </c>
      <c r="AA134" s="39">
        <v>0.0</v>
      </c>
      <c r="AB134" s="39">
        <v>0.0</v>
      </c>
      <c r="AC134" s="39">
        <v>0.0</v>
      </c>
      <c r="AD134" s="39">
        <v>0.0</v>
      </c>
      <c r="AE134" s="39">
        <v>0.0</v>
      </c>
      <c r="AF134" s="39">
        <v>0.0</v>
      </c>
      <c r="AG134" s="39">
        <v>0.0</v>
      </c>
      <c r="AH134" s="39">
        <v>0.0</v>
      </c>
      <c r="AI134" s="39">
        <v>0.0</v>
      </c>
      <c r="AJ134" s="39">
        <v>0.0</v>
      </c>
      <c r="AK134" s="39">
        <v>0.0</v>
      </c>
      <c r="AL134" s="39">
        <v>4.60898080005E11</v>
      </c>
      <c r="AM134" s="39" t="s">
        <v>1209</v>
      </c>
      <c r="AN134" s="42">
        <v>0.09</v>
      </c>
      <c r="AO134" s="43">
        <v>1884.0</v>
      </c>
      <c r="AP134" s="39">
        <v>0.0</v>
      </c>
      <c r="AQ134" s="39">
        <v>0.0</v>
      </c>
      <c r="AR134" s="39">
        <v>0.0</v>
      </c>
      <c r="AS134" s="39">
        <v>1120.0</v>
      </c>
      <c r="AT134" s="39">
        <v>100.0</v>
      </c>
      <c r="AU134" s="39">
        <v>1020.0</v>
      </c>
      <c r="AV134" s="39">
        <v>0.0</v>
      </c>
      <c r="AW134" s="39">
        <v>0.0</v>
      </c>
      <c r="AX134" s="39">
        <v>0.0</v>
      </c>
      <c r="AY134" s="39">
        <v>0.0</v>
      </c>
      <c r="AZ134" s="39">
        <v>0.0</v>
      </c>
      <c r="BA134" s="39">
        <v>0.0</v>
      </c>
      <c r="BB134" s="39">
        <v>0.0</v>
      </c>
      <c r="BC134" s="39">
        <v>220.0</v>
      </c>
      <c r="BD134" s="39">
        <v>0.0</v>
      </c>
      <c r="BE134" s="39">
        <v>0.0</v>
      </c>
      <c r="BF134" s="39">
        <v>0.0</v>
      </c>
      <c r="BG134" s="39">
        <v>0.0</v>
      </c>
      <c r="BH134" s="39">
        <v>0.0</v>
      </c>
      <c r="BI134" s="47"/>
    </row>
    <row r="135">
      <c r="A135" s="38">
        <f t="shared" si="1"/>
        <v>45982</v>
      </c>
      <c r="B135" s="39">
        <v>134.0</v>
      </c>
      <c r="C135" s="39" t="s">
        <v>1642</v>
      </c>
      <c r="D135" s="39">
        <v>1.0</v>
      </c>
      <c r="E135" s="39">
        <v>2.654183236E9</v>
      </c>
      <c r="F135" s="39" t="s">
        <v>1204</v>
      </c>
      <c r="G135" s="39" t="s">
        <v>1643</v>
      </c>
      <c r="H135" s="39" t="s">
        <v>1644</v>
      </c>
      <c r="I135" s="40">
        <v>45982.0</v>
      </c>
      <c r="J135" s="40">
        <v>45982.0</v>
      </c>
      <c r="K135" s="40">
        <v>45983.0</v>
      </c>
      <c r="L135" s="41">
        <v>45983.0</v>
      </c>
      <c r="M135" s="41">
        <v>45983.0</v>
      </c>
      <c r="N135" s="41">
        <v>45986.0</v>
      </c>
      <c r="O135" s="39">
        <v>6.422434702E9</v>
      </c>
      <c r="P135" s="39" t="s">
        <v>1223</v>
      </c>
      <c r="Q135" s="39" t="s">
        <v>1503</v>
      </c>
      <c r="R135" s="39">
        <v>1.0</v>
      </c>
      <c r="S135" s="39">
        <v>30345.0</v>
      </c>
      <c r="T135" s="39">
        <v>37900.0</v>
      </c>
      <c r="U135" s="39">
        <v>0.0</v>
      </c>
      <c r="V135" s="39">
        <v>7555.0</v>
      </c>
      <c r="W135" s="39">
        <v>0.0</v>
      </c>
      <c r="X135" s="39">
        <v>19900.0</v>
      </c>
      <c r="Y135" s="39">
        <v>18000.0</v>
      </c>
      <c r="Z135" s="39">
        <v>0.0</v>
      </c>
      <c r="AA135" s="39">
        <v>0.0</v>
      </c>
      <c r="AB135" s="39">
        <v>0.0</v>
      </c>
      <c r="AC135" s="39">
        <v>0.0</v>
      </c>
      <c r="AD135" s="39">
        <v>0.0</v>
      </c>
      <c r="AE135" s="39">
        <v>0.0</v>
      </c>
      <c r="AF135" s="39">
        <v>0.0</v>
      </c>
      <c r="AG135" s="39">
        <v>0.0</v>
      </c>
      <c r="AH135" s="39">
        <v>0.0</v>
      </c>
      <c r="AI135" s="39">
        <v>0.0</v>
      </c>
      <c r="AJ135" s="39">
        <v>0.0</v>
      </c>
      <c r="AK135" s="39">
        <v>0.0</v>
      </c>
      <c r="AL135" s="39">
        <v>4.60898080016E11</v>
      </c>
      <c r="AM135" s="39" t="s">
        <v>1209</v>
      </c>
      <c r="AN135" s="42">
        <v>0.11</v>
      </c>
      <c r="AO135" s="43">
        <v>0.0</v>
      </c>
      <c r="AP135" s="39">
        <v>0.0</v>
      </c>
      <c r="AQ135" s="39">
        <v>0.0</v>
      </c>
      <c r="AR135" s="39">
        <v>0.0</v>
      </c>
      <c r="AS135" s="39">
        <v>7003.0</v>
      </c>
      <c r="AT135" s="39">
        <v>2000.0</v>
      </c>
      <c r="AU135" s="39">
        <v>5003.0</v>
      </c>
      <c r="AV135" s="39">
        <v>647.0</v>
      </c>
      <c r="AW135" s="39">
        <v>0.0</v>
      </c>
      <c r="AX135" s="39">
        <v>0.0</v>
      </c>
      <c r="AY135" s="39">
        <v>0.0</v>
      </c>
      <c r="AZ135" s="39">
        <v>0.0</v>
      </c>
      <c r="BA135" s="39">
        <v>0.0</v>
      </c>
      <c r="BB135" s="39">
        <v>0.0</v>
      </c>
      <c r="BC135" s="39">
        <v>552.0</v>
      </c>
      <c r="BD135" s="39">
        <v>0.0</v>
      </c>
      <c r="BE135" s="39">
        <v>0.0</v>
      </c>
      <c r="BF135" s="39">
        <v>0.0</v>
      </c>
      <c r="BG135" s="39">
        <v>0.0</v>
      </c>
      <c r="BH135" s="39">
        <v>0.0</v>
      </c>
      <c r="BI135" s="47"/>
    </row>
    <row r="136">
      <c r="A136" s="38">
        <f t="shared" si="1"/>
        <v>45982</v>
      </c>
      <c r="B136" s="39">
        <v>135.0</v>
      </c>
      <c r="C136" s="39" t="s">
        <v>1645</v>
      </c>
      <c r="D136" s="39">
        <v>1.0</v>
      </c>
      <c r="E136" s="39">
        <v>2.654201633E9</v>
      </c>
      <c r="F136" s="39" t="s">
        <v>1204</v>
      </c>
      <c r="G136" s="39" t="s">
        <v>1646</v>
      </c>
      <c r="H136" s="39" t="s">
        <v>1647</v>
      </c>
      <c r="I136" s="40">
        <v>45982.0</v>
      </c>
      <c r="J136" s="40">
        <v>45982.0</v>
      </c>
      <c r="K136" s="40">
        <v>45983.0</v>
      </c>
      <c r="L136" s="41">
        <v>45991.0</v>
      </c>
      <c r="M136" s="41">
        <v>45991.0</v>
      </c>
      <c r="N136" s="45">
        <v>45993.0</v>
      </c>
      <c r="O136" s="39">
        <v>8.718794512E9</v>
      </c>
      <c r="P136" s="39" t="s">
        <v>1551</v>
      </c>
      <c r="Q136" s="39" t="s">
        <v>1259</v>
      </c>
      <c r="R136" s="39">
        <v>1.0</v>
      </c>
      <c r="S136" s="39">
        <v>129950.0</v>
      </c>
      <c r="T136" s="39">
        <v>145000.0</v>
      </c>
      <c r="U136" s="39">
        <v>0.0</v>
      </c>
      <c r="V136" s="39">
        <v>15050.0</v>
      </c>
      <c r="W136" s="39">
        <v>0.0</v>
      </c>
      <c r="X136" s="39">
        <v>145000.0</v>
      </c>
      <c r="Y136" s="39">
        <v>0.0</v>
      </c>
      <c r="Z136" s="39">
        <v>0.0</v>
      </c>
      <c r="AA136" s="39">
        <v>0.0</v>
      </c>
      <c r="AB136" s="39">
        <v>0.0</v>
      </c>
      <c r="AC136" s="39">
        <v>0.0</v>
      </c>
      <c r="AD136" s="39">
        <v>0.0</v>
      </c>
      <c r="AE136" s="39">
        <v>0.0</v>
      </c>
      <c r="AF136" s="39">
        <v>0.0</v>
      </c>
      <c r="AG136" s="39">
        <v>0.0</v>
      </c>
      <c r="AH136" s="39">
        <v>0.0</v>
      </c>
      <c r="AI136" s="39">
        <v>0.0</v>
      </c>
      <c r="AJ136" s="39">
        <v>0.0</v>
      </c>
      <c r="AK136" s="39">
        <v>0.0</v>
      </c>
      <c r="AL136" s="39">
        <v>5.30639663216E11</v>
      </c>
      <c r="AM136" s="39" t="s">
        <v>1209</v>
      </c>
      <c r="AN136" s="42">
        <v>0.09</v>
      </c>
      <c r="AO136" s="43">
        <v>13050.0</v>
      </c>
      <c r="AP136" s="39">
        <v>0.0</v>
      </c>
      <c r="AQ136" s="39">
        <v>0.0</v>
      </c>
      <c r="AR136" s="39">
        <v>0.0</v>
      </c>
      <c r="AS136" s="39">
        <v>2000.0</v>
      </c>
      <c r="AT136" s="39">
        <v>2000.0</v>
      </c>
      <c r="AU136" s="39">
        <v>0.0</v>
      </c>
      <c r="AV136" s="39">
        <v>0.0</v>
      </c>
      <c r="AW136" s="39">
        <v>0.0</v>
      </c>
      <c r="AX136" s="39">
        <v>0.0</v>
      </c>
      <c r="AY136" s="39">
        <v>0.0</v>
      </c>
      <c r="AZ136" s="39">
        <v>0.0</v>
      </c>
      <c r="BA136" s="39">
        <v>0.0</v>
      </c>
      <c r="BB136" s="39">
        <v>0.0</v>
      </c>
      <c r="BC136" s="39">
        <v>0.0</v>
      </c>
      <c r="BD136" s="39">
        <v>0.0</v>
      </c>
      <c r="BE136" s="39">
        <v>0.0</v>
      </c>
      <c r="BF136" s="39">
        <v>0.0</v>
      </c>
      <c r="BG136" s="39">
        <v>0.0</v>
      </c>
      <c r="BH136" s="39">
        <v>0.0</v>
      </c>
      <c r="BI136" s="47"/>
    </row>
    <row r="137">
      <c r="A137" s="38">
        <f t="shared" si="1"/>
        <v>45982</v>
      </c>
      <c r="B137" s="39">
        <v>136.0</v>
      </c>
      <c r="C137" s="39" t="s">
        <v>1648</v>
      </c>
      <c r="D137" s="39">
        <v>1.0</v>
      </c>
      <c r="E137" s="39">
        <v>2.654228606E9</v>
      </c>
      <c r="F137" s="39" t="s">
        <v>1204</v>
      </c>
      <c r="G137" s="39" t="s">
        <v>1649</v>
      </c>
      <c r="H137" s="39" t="s">
        <v>1650</v>
      </c>
      <c r="I137" s="40">
        <v>45982.0</v>
      </c>
      <c r="J137" s="40">
        <v>45982.0</v>
      </c>
      <c r="K137" s="40">
        <v>45983.0</v>
      </c>
      <c r="L137" s="41">
        <v>45991.0</v>
      </c>
      <c r="M137" s="41">
        <v>45991.0</v>
      </c>
      <c r="N137" s="45">
        <v>45993.0</v>
      </c>
      <c r="O137" s="39">
        <v>4.232257167E9</v>
      </c>
      <c r="P137" s="39" t="s">
        <v>1620</v>
      </c>
      <c r="Q137" s="39" t="s">
        <v>1208</v>
      </c>
      <c r="R137" s="39">
        <v>1.0</v>
      </c>
      <c r="S137" s="39">
        <v>14603.0</v>
      </c>
      <c r="T137" s="39">
        <v>39900.0</v>
      </c>
      <c r="U137" s="39">
        <v>0.0</v>
      </c>
      <c r="V137" s="39">
        <v>25297.0</v>
      </c>
      <c r="W137" s="39">
        <v>14603.0</v>
      </c>
      <c r="X137" s="39">
        <v>39900.0</v>
      </c>
      <c r="Y137" s="39">
        <v>0.0</v>
      </c>
      <c r="Z137" s="39">
        <v>0.0</v>
      </c>
      <c r="AA137" s="39">
        <v>0.0</v>
      </c>
      <c r="AB137" s="39">
        <v>0.0</v>
      </c>
      <c r="AC137" s="39">
        <v>0.0</v>
      </c>
      <c r="AD137" s="39">
        <v>0.0</v>
      </c>
      <c r="AE137" s="39">
        <v>0.0</v>
      </c>
      <c r="AF137" s="39">
        <v>0.0</v>
      </c>
      <c r="AG137" s="39">
        <v>0.0</v>
      </c>
      <c r="AH137" s="39">
        <v>0.0</v>
      </c>
      <c r="AI137" s="39">
        <v>0.0</v>
      </c>
      <c r="AJ137" s="39">
        <v>0.0</v>
      </c>
      <c r="AK137" s="39">
        <v>0.0</v>
      </c>
      <c r="AL137" s="39">
        <v>4.60903076723E11</v>
      </c>
      <c r="AM137" s="39" t="s">
        <v>1209</v>
      </c>
      <c r="AN137" s="42">
        <v>0.13</v>
      </c>
      <c r="AO137" s="43">
        <v>5187.0</v>
      </c>
      <c r="AP137" s="39">
        <v>0.0</v>
      </c>
      <c r="AQ137" s="39">
        <v>0.0</v>
      </c>
      <c r="AR137" s="39">
        <v>0.0</v>
      </c>
      <c r="AS137" s="39">
        <v>20000.0</v>
      </c>
      <c r="AT137" s="39">
        <v>20000.0</v>
      </c>
      <c r="AU137" s="39">
        <v>0.0</v>
      </c>
      <c r="AV137" s="39">
        <v>0.0</v>
      </c>
      <c r="AW137" s="39">
        <v>0.0</v>
      </c>
      <c r="AX137" s="39">
        <v>0.0</v>
      </c>
      <c r="AY137" s="39">
        <v>0.0</v>
      </c>
      <c r="AZ137" s="39">
        <v>0.0</v>
      </c>
      <c r="BA137" s="39">
        <v>0.0</v>
      </c>
      <c r="BB137" s="39">
        <v>0.0</v>
      </c>
      <c r="BC137" s="39">
        <v>110.0</v>
      </c>
      <c r="BD137" s="39">
        <v>0.0</v>
      </c>
      <c r="BE137" s="39">
        <v>0.0</v>
      </c>
      <c r="BF137" s="39">
        <v>0.0</v>
      </c>
      <c r="BG137" s="39">
        <v>0.0</v>
      </c>
      <c r="BH137" s="39">
        <v>0.0</v>
      </c>
      <c r="BI137" s="47"/>
    </row>
    <row r="138">
      <c r="A138" s="38">
        <f t="shared" si="1"/>
        <v>45982</v>
      </c>
      <c r="B138" s="39">
        <v>137.0</v>
      </c>
      <c r="C138" s="39" t="s">
        <v>1651</v>
      </c>
      <c r="D138" s="39">
        <v>1.0</v>
      </c>
      <c r="E138" s="39">
        <v>2.654258582E9</v>
      </c>
      <c r="F138" s="39" t="s">
        <v>1204</v>
      </c>
      <c r="G138" s="39" t="s">
        <v>1652</v>
      </c>
      <c r="H138" s="39" t="s">
        <v>1653</v>
      </c>
      <c r="I138" s="40">
        <v>45982.0</v>
      </c>
      <c r="J138" s="40">
        <v>45982.0</v>
      </c>
      <c r="K138" s="40">
        <v>45983.0</v>
      </c>
      <c r="L138" s="41">
        <v>45990.0</v>
      </c>
      <c r="M138" s="41">
        <v>45990.0</v>
      </c>
      <c r="N138" s="45">
        <v>45993.0</v>
      </c>
      <c r="O138" s="39">
        <v>8.044940982E9</v>
      </c>
      <c r="P138" s="39" t="s">
        <v>1654</v>
      </c>
      <c r="Q138" s="39" t="s">
        <v>1655</v>
      </c>
      <c r="R138" s="39">
        <v>1.0</v>
      </c>
      <c r="S138" s="39">
        <v>12555.0</v>
      </c>
      <c r="T138" s="39">
        <v>16000.0</v>
      </c>
      <c r="U138" s="39">
        <v>0.0</v>
      </c>
      <c r="V138" s="39">
        <v>3445.0</v>
      </c>
      <c r="W138" s="39">
        <v>12555.0</v>
      </c>
      <c r="X138" s="39">
        <v>16000.0</v>
      </c>
      <c r="Y138" s="39">
        <v>0.0</v>
      </c>
      <c r="Z138" s="39">
        <v>0.0</v>
      </c>
      <c r="AA138" s="39">
        <v>0.0</v>
      </c>
      <c r="AB138" s="39">
        <v>0.0</v>
      </c>
      <c r="AC138" s="39">
        <v>0.0</v>
      </c>
      <c r="AD138" s="39">
        <v>0.0</v>
      </c>
      <c r="AE138" s="39">
        <v>0.0</v>
      </c>
      <c r="AF138" s="39">
        <v>0.0</v>
      </c>
      <c r="AG138" s="39">
        <v>0.0</v>
      </c>
      <c r="AH138" s="39">
        <v>0.0</v>
      </c>
      <c r="AI138" s="39">
        <v>0.0</v>
      </c>
      <c r="AJ138" s="39">
        <v>0.0</v>
      </c>
      <c r="AK138" s="39">
        <v>0.0</v>
      </c>
      <c r="AL138" s="39">
        <v>4.6090436084E11</v>
      </c>
      <c r="AM138" s="39" t="s">
        <v>1209</v>
      </c>
      <c r="AN138" s="42">
        <v>0.09</v>
      </c>
      <c r="AO138" s="43">
        <v>1440.0</v>
      </c>
      <c r="AP138" s="39">
        <v>0.0</v>
      </c>
      <c r="AQ138" s="39">
        <v>0.0</v>
      </c>
      <c r="AR138" s="39">
        <v>0.0</v>
      </c>
      <c r="AS138" s="39">
        <v>500.0</v>
      </c>
      <c r="AT138" s="39">
        <v>500.0</v>
      </c>
      <c r="AU138" s="39">
        <v>0.0</v>
      </c>
      <c r="AV138" s="39">
        <v>0.0</v>
      </c>
      <c r="AW138" s="39">
        <v>0.0</v>
      </c>
      <c r="AX138" s="39">
        <v>0.0</v>
      </c>
      <c r="AY138" s="39">
        <v>0.0</v>
      </c>
      <c r="AZ138" s="39">
        <v>0.0</v>
      </c>
      <c r="BA138" s="39">
        <v>0.0</v>
      </c>
      <c r="BB138" s="39">
        <v>0.0</v>
      </c>
      <c r="BC138" s="39">
        <v>1505.0</v>
      </c>
      <c r="BD138" s="39">
        <v>0.0</v>
      </c>
      <c r="BE138" s="39">
        <v>0.0</v>
      </c>
      <c r="BF138" s="39">
        <v>0.0</v>
      </c>
      <c r="BG138" s="39">
        <v>0.0</v>
      </c>
      <c r="BH138" s="39">
        <v>0.0</v>
      </c>
      <c r="BI138" s="47"/>
    </row>
    <row r="139">
      <c r="A139" s="38">
        <f t="shared" si="1"/>
        <v>45983</v>
      </c>
      <c r="B139" s="39">
        <v>138.0</v>
      </c>
      <c r="C139" s="39" t="s">
        <v>1656</v>
      </c>
      <c r="D139" s="39">
        <v>1.0</v>
      </c>
      <c r="E139" s="39">
        <v>2.654431213E9</v>
      </c>
      <c r="F139" s="39" t="s">
        <v>1204</v>
      </c>
      <c r="G139" s="39" t="s">
        <v>1657</v>
      </c>
      <c r="H139" s="39" t="s">
        <v>1658</v>
      </c>
      <c r="I139" s="40">
        <v>45983.0</v>
      </c>
      <c r="J139" s="40">
        <v>45985.0</v>
      </c>
      <c r="K139" s="40">
        <v>45986.0</v>
      </c>
      <c r="L139" s="41">
        <v>45989.0</v>
      </c>
      <c r="M139" s="41">
        <v>45989.0</v>
      </c>
      <c r="N139" s="45">
        <v>45993.0</v>
      </c>
      <c r="O139" s="39">
        <v>8.859970134E9</v>
      </c>
      <c r="P139" s="39" t="s">
        <v>1659</v>
      </c>
      <c r="Q139" s="39" t="s">
        <v>1660</v>
      </c>
      <c r="R139" s="39">
        <v>1.0</v>
      </c>
      <c r="S139" s="39">
        <v>7743.0</v>
      </c>
      <c r="T139" s="39">
        <v>8900.0</v>
      </c>
      <c r="U139" s="39">
        <v>0.0</v>
      </c>
      <c r="V139" s="39">
        <v>1157.0</v>
      </c>
      <c r="W139" s="39">
        <v>0.0</v>
      </c>
      <c r="X139" s="39">
        <v>8900.0</v>
      </c>
      <c r="Y139" s="39">
        <v>0.0</v>
      </c>
      <c r="Z139" s="39">
        <v>0.0</v>
      </c>
      <c r="AA139" s="39">
        <v>0.0</v>
      </c>
      <c r="AB139" s="39">
        <v>0.0</v>
      </c>
      <c r="AC139" s="39">
        <v>0.0</v>
      </c>
      <c r="AD139" s="39">
        <v>0.0</v>
      </c>
      <c r="AE139" s="39">
        <v>0.0</v>
      </c>
      <c r="AF139" s="39">
        <v>0.0</v>
      </c>
      <c r="AG139" s="39">
        <v>0.0</v>
      </c>
      <c r="AH139" s="39">
        <v>0.0</v>
      </c>
      <c r="AI139" s="39">
        <v>0.0</v>
      </c>
      <c r="AJ139" s="39">
        <v>0.0</v>
      </c>
      <c r="AK139" s="39">
        <v>0.0</v>
      </c>
      <c r="AL139" s="39">
        <v>4.60912410593E11</v>
      </c>
      <c r="AM139" s="39" t="s">
        <v>1209</v>
      </c>
      <c r="AN139" s="42">
        <v>0.13</v>
      </c>
      <c r="AO139" s="43">
        <v>1157.0</v>
      </c>
      <c r="AP139" s="39">
        <v>0.0</v>
      </c>
      <c r="AQ139" s="39">
        <v>0.0</v>
      </c>
      <c r="AR139" s="39">
        <v>0.0</v>
      </c>
      <c r="AS139" s="39">
        <v>0.0</v>
      </c>
      <c r="AT139" s="39">
        <v>0.0</v>
      </c>
      <c r="AU139" s="39">
        <v>0.0</v>
      </c>
      <c r="AV139" s="39">
        <v>0.0</v>
      </c>
      <c r="AW139" s="39">
        <v>0.0</v>
      </c>
      <c r="AX139" s="39">
        <v>0.0</v>
      </c>
      <c r="AY139" s="39">
        <v>0.0</v>
      </c>
      <c r="AZ139" s="39">
        <v>0.0</v>
      </c>
      <c r="BA139" s="39">
        <v>0.0</v>
      </c>
      <c r="BB139" s="39">
        <v>0.0</v>
      </c>
      <c r="BC139" s="39">
        <v>0.0</v>
      </c>
      <c r="BD139" s="39">
        <v>0.0</v>
      </c>
      <c r="BE139" s="39">
        <v>0.0</v>
      </c>
      <c r="BF139" s="39">
        <v>0.0</v>
      </c>
      <c r="BG139" s="39">
        <v>0.0</v>
      </c>
      <c r="BH139" s="39">
        <v>0.0</v>
      </c>
      <c r="BI139" s="47"/>
    </row>
    <row r="140">
      <c r="A140" s="38">
        <f t="shared" si="1"/>
        <v>45983</v>
      </c>
      <c r="B140" s="39">
        <v>139.0</v>
      </c>
      <c r="C140" s="39" t="s">
        <v>1661</v>
      </c>
      <c r="D140" s="39">
        <v>1.0</v>
      </c>
      <c r="E140" s="39">
        <v>2.654483952E9</v>
      </c>
      <c r="F140" s="39" t="s">
        <v>1204</v>
      </c>
      <c r="G140" s="39" t="s">
        <v>1662</v>
      </c>
      <c r="H140" s="39" t="s">
        <v>1663</v>
      </c>
      <c r="I140" s="40">
        <v>45983.0</v>
      </c>
      <c r="J140" s="40">
        <v>45985.0</v>
      </c>
      <c r="K140" s="40">
        <v>45986.0</v>
      </c>
      <c r="L140" s="41">
        <v>45987.0</v>
      </c>
      <c r="M140" s="41">
        <v>45987.0</v>
      </c>
      <c r="N140" s="41">
        <v>45989.0</v>
      </c>
      <c r="O140" s="39">
        <v>2.786546082E9</v>
      </c>
      <c r="P140" s="39" t="s">
        <v>1370</v>
      </c>
      <c r="Q140" s="39" t="s">
        <v>1219</v>
      </c>
      <c r="R140" s="39">
        <v>1.0</v>
      </c>
      <c r="S140" s="39">
        <v>23787.0</v>
      </c>
      <c r="T140" s="39">
        <v>29500.0</v>
      </c>
      <c r="U140" s="39">
        <v>0.0</v>
      </c>
      <c r="V140" s="39">
        <v>5713.0</v>
      </c>
      <c r="W140" s="39">
        <v>23787.0</v>
      </c>
      <c r="X140" s="39">
        <v>29500.0</v>
      </c>
      <c r="Y140" s="39">
        <v>0.0</v>
      </c>
      <c r="Z140" s="39">
        <v>0.0</v>
      </c>
      <c r="AA140" s="39">
        <v>0.0</v>
      </c>
      <c r="AB140" s="39">
        <v>0.0</v>
      </c>
      <c r="AC140" s="39">
        <v>0.0</v>
      </c>
      <c r="AD140" s="39">
        <v>0.0</v>
      </c>
      <c r="AE140" s="39">
        <v>0.0</v>
      </c>
      <c r="AF140" s="39">
        <v>0.0</v>
      </c>
      <c r="AG140" s="39">
        <v>0.0</v>
      </c>
      <c r="AH140" s="39">
        <v>0.0</v>
      </c>
      <c r="AI140" s="39">
        <v>0.0</v>
      </c>
      <c r="AJ140" s="39">
        <v>0.0</v>
      </c>
      <c r="AK140" s="39">
        <v>0.0</v>
      </c>
      <c r="AL140" s="39">
        <v>4.60912410615E11</v>
      </c>
      <c r="AM140" s="39" t="s">
        <v>1209</v>
      </c>
      <c r="AN140" s="42">
        <v>0.09</v>
      </c>
      <c r="AO140" s="43">
        <v>2191.0</v>
      </c>
      <c r="AP140" s="39">
        <v>0.0</v>
      </c>
      <c r="AQ140" s="39">
        <v>0.0</v>
      </c>
      <c r="AR140" s="39">
        <v>0.0</v>
      </c>
      <c r="AS140" s="39">
        <v>1470.0</v>
      </c>
      <c r="AT140" s="39">
        <v>890.0</v>
      </c>
      <c r="AU140" s="39">
        <v>580.0</v>
      </c>
      <c r="AV140" s="39">
        <v>0.0</v>
      </c>
      <c r="AW140" s="39">
        <v>0.0</v>
      </c>
      <c r="AX140" s="39">
        <v>0.0</v>
      </c>
      <c r="AY140" s="39">
        <v>0.0</v>
      </c>
      <c r="AZ140" s="39">
        <v>0.0</v>
      </c>
      <c r="BA140" s="39">
        <v>0.0</v>
      </c>
      <c r="BB140" s="39">
        <v>0.0</v>
      </c>
      <c r="BC140" s="39">
        <v>2052.0</v>
      </c>
      <c r="BD140" s="39">
        <v>0.0</v>
      </c>
      <c r="BE140" s="39">
        <v>0.0</v>
      </c>
      <c r="BF140" s="39">
        <v>0.0</v>
      </c>
      <c r="BG140" s="39">
        <v>0.0</v>
      </c>
      <c r="BH140" s="39">
        <v>0.0</v>
      </c>
      <c r="BI140" s="47"/>
    </row>
    <row r="141">
      <c r="A141" s="38">
        <f t="shared" si="1"/>
        <v>45983</v>
      </c>
      <c r="B141" s="39">
        <v>140.0</v>
      </c>
      <c r="C141" s="39" t="s">
        <v>1664</v>
      </c>
      <c r="D141" s="39">
        <v>1.0</v>
      </c>
      <c r="E141" s="39">
        <v>2.654486521E9</v>
      </c>
      <c r="F141" s="39" t="s">
        <v>1204</v>
      </c>
      <c r="G141" s="39" t="s">
        <v>1665</v>
      </c>
      <c r="H141" s="39" t="s">
        <v>1666</v>
      </c>
      <c r="I141" s="40">
        <v>45983.0</v>
      </c>
      <c r="J141" s="40">
        <v>45985.0</v>
      </c>
      <c r="K141" s="40">
        <v>45986.0</v>
      </c>
      <c r="L141" s="41">
        <v>45989.0</v>
      </c>
      <c r="M141" s="41">
        <v>45989.0</v>
      </c>
      <c r="N141" s="45">
        <v>45993.0</v>
      </c>
      <c r="O141" s="39">
        <v>6.342749718E9</v>
      </c>
      <c r="P141" s="39" t="s">
        <v>1213</v>
      </c>
      <c r="Q141" s="39" t="s">
        <v>1283</v>
      </c>
      <c r="R141" s="39">
        <v>1.0</v>
      </c>
      <c r="S141" s="39">
        <v>22150.0</v>
      </c>
      <c r="T141" s="39">
        <v>59000.0</v>
      </c>
      <c r="U141" s="39">
        <v>0.0</v>
      </c>
      <c r="V141" s="39">
        <v>36850.0</v>
      </c>
      <c r="W141" s="39">
        <v>22150.0</v>
      </c>
      <c r="X141" s="39">
        <v>59000.0</v>
      </c>
      <c r="Y141" s="39">
        <v>0.0</v>
      </c>
      <c r="Z141" s="39">
        <v>0.0</v>
      </c>
      <c r="AA141" s="39">
        <v>0.0</v>
      </c>
      <c r="AB141" s="39">
        <v>0.0</v>
      </c>
      <c r="AC141" s="39">
        <v>0.0</v>
      </c>
      <c r="AD141" s="39">
        <v>0.0</v>
      </c>
      <c r="AE141" s="39">
        <v>0.0</v>
      </c>
      <c r="AF141" s="39">
        <v>0.0</v>
      </c>
      <c r="AG141" s="39">
        <v>0.0</v>
      </c>
      <c r="AH141" s="39">
        <v>0.0</v>
      </c>
      <c r="AI141" s="39">
        <v>0.0</v>
      </c>
      <c r="AJ141" s="39">
        <v>0.0</v>
      </c>
      <c r="AK141" s="39">
        <v>0.0</v>
      </c>
      <c r="AL141" s="39">
        <v>4.60912410626E11</v>
      </c>
      <c r="AM141" s="39" t="s">
        <v>1209</v>
      </c>
      <c r="AN141" s="42">
        <v>0.09</v>
      </c>
      <c r="AO141" s="43">
        <v>3710.0</v>
      </c>
      <c r="AP141" s="39">
        <v>0.0</v>
      </c>
      <c r="AQ141" s="39">
        <v>0.0</v>
      </c>
      <c r="AR141" s="39">
        <v>0.0</v>
      </c>
      <c r="AS141" s="39">
        <v>31100.0</v>
      </c>
      <c r="AT141" s="39">
        <v>29100.0</v>
      </c>
      <c r="AU141" s="39">
        <v>2000.0</v>
      </c>
      <c r="AV141" s="39">
        <v>0.0</v>
      </c>
      <c r="AW141" s="39">
        <v>0.0</v>
      </c>
      <c r="AX141" s="39">
        <v>0.0</v>
      </c>
      <c r="AY141" s="39">
        <v>0.0</v>
      </c>
      <c r="AZ141" s="39">
        <v>0.0</v>
      </c>
      <c r="BA141" s="39">
        <v>0.0</v>
      </c>
      <c r="BB141" s="39">
        <v>0.0</v>
      </c>
      <c r="BC141" s="39">
        <v>2040.0</v>
      </c>
      <c r="BD141" s="39">
        <v>0.0</v>
      </c>
      <c r="BE141" s="39">
        <v>0.0</v>
      </c>
      <c r="BF141" s="39">
        <v>0.0</v>
      </c>
      <c r="BG141" s="39">
        <v>0.0</v>
      </c>
      <c r="BH141" s="39">
        <v>0.0</v>
      </c>
      <c r="BI141" s="47"/>
    </row>
    <row r="142">
      <c r="A142" s="38">
        <f t="shared" si="1"/>
        <v>45984</v>
      </c>
      <c r="B142" s="39">
        <v>141.0</v>
      </c>
      <c r="C142" s="39" t="s">
        <v>1667</v>
      </c>
      <c r="D142" s="39">
        <v>1.0</v>
      </c>
      <c r="E142" s="39">
        <v>2.654512404E9</v>
      </c>
      <c r="F142" s="39" t="s">
        <v>1204</v>
      </c>
      <c r="G142" s="39" t="s">
        <v>1668</v>
      </c>
      <c r="H142" s="39" t="s">
        <v>1669</v>
      </c>
      <c r="I142" s="40">
        <v>45984.0</v>
      </c>
      <c r="J142" s="40">
        <v>45985.0</v>
      </c>
      <c r="K142" s="40">
        <v>45986.0</v>
      </c>
      <c r="L142" s="41">
        <v>45986.0</v>
      </c>
      <c r="M142" s="41">
        <v>45986.0</v>
      </c>
      <c r="N142" s="41">
        <v>45988.0</v>
      </c>
      <c r="O142" s="39">
        <v>4.232346825E9</v>
      </c>
      <c r="P142" s="39" t="s">
        <v>1419</v>
      </c>
      <c r="Q142" s="39" t="s">
        <v>1219</v>
      </c>
      <c r="R142" s="39">
        <v>1.0</v>
      </c>
      <c r="S142" s="39">
        <v>15649.0</v>
      </c>
      <c r="T142" s="39">
        <v>19900.0</v>
      </c>
      <c r="U142" s="39">
        <v>0.0</v>
      </c>
      <c r="V142" s="39">
        <v>4251.0</v>
      </c>
      <c r="W142" s="39">
        <v>0.0</v>
      </c>
      <c r="X142" s="39">
        <v>19900.0</v>
      </c>
      <c r="Y142" s="39">
        <v>0.0</v>
      </c>
      <c r="Z142" s="39">
        <v>0.0</v>
      </c>
      <c r="AA142" s="39">
        <v>0.0</v>
      </c>
      <c r="AB142" s="39">
        <v>0.0</v>
      </c>
      <c r="AC142" s="39">
        <v>0.0</v>
      </c>
      <c r="AD142" s="39">
        <v>0.0</v>
      </c>
      <c r="AE142" s="39">
        <v>0.0</v>
      </c>
      <c r="AF142" s="39">
        <v>0.0</v>
      </c>
      <c r="AG142" s="39">
        <v>0.0</v>
      </c>
      <c r="AH142" s="39">
        <v>0.0</v>
      </c>
      <c r="AI142" s="39">
        <v>0.0</v>
      </c>
      <c r="AJ142" s="39">
        <v>0.0</v>
      </c>
      <c r="AK142" s="39">
        <v>0.0</v>
      </c>
      <c r="AL142" s="39">
        <v>4.6091241063E11</v>
      </c>
      <c r="AM142" s="39" t="s">
        <v>1209</v>
      </c>
      <c r="AN142" s="42">
        <v>0.13</v>
      </c>
      <c r="AO142" s="43">
        <v>1955.0</v>
      </c>
      <c r="AP142" s="39">
        <v>0.0</v>
      </c>
      <c r="AQ142" s="39">
        <v>0.0</v>
      </c>
      <c r="AR142" s="39">
        <v>0.0</v>
      </c>
      <c r="AS142" s="39">
        <v>1990.0</v>
      </c>
      <c r="AT142" s="39">
        <v>1200.0</v>
      </c>
      <c r="AU142" s="39">
        <v>790.0</v>
      </c>
      <c r="AV142" s="39">
        <v>0.0</v>
      </c>
      <c r="AW142" s="39">
        <v>0.0</v>
      </c>
      <c r="AX142" s="39">
        <v>0.0</v>
      </c>
      <c r="AY142" s="39">
        <v>0.0</v>
      </c>
      <c r="AZ142" s="39">
        <v>0.0</v>
      </c>
      <c r="BA142" s="39">
        <v>0.0</v>
      </c>
      <c r="BB142" s="39">
        <v>0.0</v>
      </c>
      <c r="BC142" s="39">
        <v>306.0</v>
      </c>
      <c r="BD142" s="39">
        <v>0.0</v>
      </c>
      <c r="BE142" s="39">
        <v>0.0</v>
      </c>
      <c r="BF142" s="39">
        <v>0.0</v>
      </c>
      <c r="BG142" s="39">
        <v>0.0</v>
      </c>
      <c r="BH142" s="39">
        <v>0.0</v>
      </c>
      <c r="BI142" s="47"/>
    </row>
    <row r="143">
      <c r="A143" s="38">
        <f t="shared" si="1"/>
        <v>45984</v>
      </c>
      <c r="B143" s="39">
        <v>142.0</v>
      </c>
      <c r="C143" s="39" t="s">
        <v>1670</v>
      </c>
      <c r="D143" s="39">
        <v>1.0</v>
      </c>
      <c r="E143" s="39">
        <v>2.654560442E9</v>
      </c>
      <c r="F143" s="39" t="s">
        <v>1204</v>
      </c>
      <c r="G143" s="39" t="s">
        <v>1671</v>
      </c>
      <c r="H143" s="39" t="s">
        <v>1672</v>
      </c>
      <c r="I143" s="40">
        <v>45984.0</v>
      </c>
      <c r="J143" s="40">
        <v>45985.0</v>
      </c>
      <c r="K143" s="40">
        <v>45986.0</v>
      </c>
      <c r="L143" s="41">
        <v>45986.0</v>
      </c>
      <c r="M143" s="41">
        <v>45986.0</v>
      </c>
      <c r="N143" s="41">
        <v>45988.0</v>
      </c>
      <c r="O143" s="39">
        <v>6.422434702E9</v>
      </c>
      <c r="P143" s="39" t="s">
        <v>1223</v>
      </c>
      <c r="Q143" s="39" t="s">
        <v>1224</v>
      </c>
      <c r="R143" s="39">
        <v>1.0</v>
      </c>
      <c r="S143" s="39">
        <v>17010.0</v>
      </c>
      <c r="T143" s="39">
        <v>19900.0</v>
      </c>
      <c r="U143" s="39">
        <v>0.0</v>
      </c>
      <c r="V143" s="39">
        <v>2890.0</v>
      </c>
      <c r="W143" s="39">
        <v>0.0</v>
      </c>
      <c r="X143" s="39">
        <v>19900.0</v>
      </c>
      <c r="Y143" s="39">
        <v>0.0</v>
      </c>
      <c r="Z143" s="39">
        <v>0.0</v>
      </c>
      <c r="AA143" s="39">
        <v>0.0</v>
      </c>
      <c r="AB143" s="39">
        <v>0.0</v>
      </c>
      <c r="AC143" s="39">
        <v>0.0</v>
      </c>
      <c r="AD143" s="39">
        <v>0.0</v>
      </c>
      <c r="AE143" s="39">
        <v>0.0</v>
      </c>
      <c r="AF143" s="39">
        <v>0.0</v>
      </c>
      <c r="AG143" s="39">
        <v>0.0</v>
      </c>
      <c r="AH143" s="39">
        <v>0.0</v>
      </c>
      <c r="AI143" s="39">
        <v>0.0</v>
      </c>
      <c r="AJ143" s="39">
        <v>0.0</v>
      </c>
      <c r="AK143" s="39">
        <v>0.0</v>
      </c>
      <c r="AL143" s="39">
        <v>4.60912410641E11</v>
      </c>
      <c r="AM143" s="39" t="s">
        <v>1209</v>
      </c>
      <c r="AN143" s="42">
        <v>0.11</v>
      </c>
      <c r="AO143" s="43">
        <v>1077.0</v>
      </c>
      <c r="AP143" s="39">
        <v>0.0</v>
      </c>
      <c r="AQ143" s="39">
        <v>0.0</v>
      </c>
      <c r="AR143" s="39">
        <v>0.0</v>
      </c>
      <c r="AS143" s="39">
        <v>1390.0</v>
      </c>
      <c r="AT143" s="39">
        <v>0.0</v>
      </c>
      <c r="AU143" s="39">
        <v>1390.0</v>
      </c>
      <c r="AV143" s="39">
        <v>0.0</v>
      </c>
      <c r="AW143" s="39">
        <v>0.0</v>
      </c>
      <c r="AX143" s="39">
        <v>0.0</v>
      </c>
      <c r="AY143" s="39">
        <v>0.0</v>
      </c>
      <c r="AZ143" s="39">
        <v>0.0</v>
      </c>
      <c r="BA143" s="39">
        <v>0.0</v>
      </c>
      <c r="BB143" s="39">
        <v>0.0</v>
      </c>
      <c r="BC143" s="39">
        <v>423.0</v>
      </c>
      <c r="BD143" s="39">
        <v>0.0</v>
      </c>
      <c r="BE143" s="39">
        <v>0.0</v>
      </c>
      <c r="BF143" s="39">
        <v>0.0</v>
      </c>
      <c r="BG143" s="39">
        <v>0.0</v>
      </c>
      <c r="BH143" s="39">
        <v>0.0</v>
      </c>
      <c r="BI143" s="47"/>
    </row>
    <row r="144">
      <c r="A144" s="38">
        <f t="shared" si="1"/>
        <v>45984</v>
      </c>
      <c r="B144" s="39">
        <v>143.0</v>
      </c>
      <c r="C144" s="39" t="s">
        <v>1673</v>
      </c>
      <c r="D144" s="39">
        <v>3.0</v>
      </c>
      <c r="E144" s="39">
        <v>2.65462152E9</v>
      </c>
      <c r="F144" s="39" t="s">
        <v>1204</v>
      </c>
      <c r="G144" s="39" t="s">
        <v>1674</v>
      </c>
      <c r="H144" s="39" t="s">
        <v>1675</v>
      </c>
      <c r="I144" s="40">
        <v>45984.0</v>
      </c>
      <c r="J144" s="40">
        <v>45985.0</v>
      </c>
      <c r="K144" s="40">
        <v>45986.0</v>
      </c>
      <c r="L144" s="41">
        <v>45988.0</v>
      </c>
      <c r="M144" s="41">
        <v>45988.0</v>
      </c>
      <c r="N144" s="45">
        <v>45992.0</v>
      </c>
      <c r="O144" s="39">
        <v>6.023557551E9</v>
      </c>
      <c r="P144" s="39" t="s">
        <v>1317</v>
      </c>
      <c r="Q144" s="39" t="s">
        <v>1676</v>
      </c>
      <c r="R144" s="39">
        <v>1.0</v>
      </c>
      <c r="S144" s="39">
        <v>15531.0</v>
      </c>
      <c r="T144" s="39">
        <v>17500.0</v>
      </c>
      <c r="U144" s="39">
        <v>0.0</v>
      </c>
      <c r="V144" s="39">
        <v>1969.0</v>
      </c>
      <c r="W144" s="39">
        <v>15531.0</v>
      </c>
      <c r="X144" s="39">
        <v>11000.0</v>
      </c>
      <c r="Y144" s="39">
        <v>6500.0</v>
      </c>
      <c r="Z144" s="39">
        <v>0.0</v>
      </c>
      <c r="AA144" s="39">
        <v>0.0</v>
      </c>
      <c r="AB144" s="39">
        <v>0.0</v>
      </c>
      <c r="AC144" s="39">
        <v>0.0</v>
      </c>
      <c r="AD144" s="39">
        <v>0.0</v>
      </c>
      <c r="AE144" s="39">
        <v>0.0</v>
      </c>
      <c r="AF144" s="39">
        <v>0.0</v>
      </c>
      <c r="AG144" s="39">
        <v>0.0</v>
      </c>
      <c r="AH144" s="39">
        <v>0.0</v>
      </c>
      <c r="AI144" s="39">
        <v>0.0</v>
      </c>
      <c r="AJ144" s="39">
        <v>0.0</v>
      </c>
      <c r="AK144" s="39">
        <v>0.0</v>
      </c>
      <c r="AL144" s="39">
        <v>4.60912410652E11</v>
      </c>
      <c r="AM144" s="39" t="s">
        <v>1209</v>
      </c>
      <c r="AN144" s="42">
        <v>0.09</v>
      </c>
      <c r="AO144" s="43">
        <v>1279.0</v>
      </c>
      <c r="AP144" s="39">
        <v>0.0</v>
      </c>
      <c r="AQ144" s="39">
        <v>0.0</v>
      </c>
      <c r="AR144" s="39">
        <v>0.0</v>
      </c>
      <c r="AS144" s="39">
        <v>470.0</v>
      </c>
      <c r="AT144" s="39">
        <v>100.0</v>
      </c>
      <c r="AU144" s="39">
        <v>370.0</v>
      </c>
      <c r="AV144" s="39">
        <v>0.0</v>
      </c>
      <c r="AW144" s="39">
        <v>0.0</v>
      </c>
      <c r="AX144" s="39">
        <v>0.0</v>
      </c>
      <c r="AY144" s="39">
        <v>0.0</v>
      </c>
      <c r="AZ144" s="39">
        <v>0.0</v>
      </c>
      <c r="BA144" s="39">
        <v>0.0</v>
      </c>
      <c r="BB144" s="39">
        <v>0.0</v>
      </c>
      <c r="BC144" s="39">
        <v>220.0</v>
      </c>
      <c r="BD144" s="39">
        <v>0.0</v>
      </c>
      <c r="BE144" s="39">
        <v>0.0</v>
      </c>
      <c r="BF144" s="39">
        <v>0.0</v>
      </c>
      <c r="BG144" s="39">
        <v>0.0</v>
      </c>
      <c r="BH144" s="39">
        <v>0.0</v>
      </c>
      <c r="BI144" s="47"/>
    </row>
    <row r="145">
      <c r="A145" s="38">
        <f t="shared" si="1"/>
        <v>45985</v>
      </c>
      <c r="B145" s="39">
        <v>144.0</v>
      </c>
      <c r="C145" s="39" t="s">
        <v>1677</v>
      </c>
      <c r="D145" s="39">
        <v>1.0</v>
      </c>
      <c r="E145" s="39">
        <v>2.654675014E9</v>
      </c>
      <c r="F145" s="39" t="s">
        <v>1204</v>
      </c>
      <c r="G145" s="39" t="s">
        <v>1678</v>
      </c>
      <c r="H145" s="39" t="s">
        <v>1679</v>
      </c>
      <c r="I145" s="40">
        <v>45985.0</v>
      </c>
      <c r="J145" s="40">
        <v>45985.0</v>
      </c>
      <c r="K145" s="40">
        <v>45986.0</v>
      </c>
      <c r="L145" s="41">
        <v>45988.0</v>
      </c>
      <c r="M145" s="41">
        <v>45988.0</v>
      </c>
      <c r="N145" s="45">
        <v>45992.0</v>
      </c>
      <c r="O145" s="39">
        <v>6.422434702E9</v>
      </c>
      <c r="P145" s="39" t="s">
        <v>1223</v>
      </c>
      <c r="Q145" s="39" t="s">
        <v>1224</v>
      </c>
      <c r="R145" s="39">
        <v>1.0</v>
      </c>
      <c r="S145" s="39">
        <v>16009.0</v>
      </c>
      <c r="T145" s="39">
        <v>19900.0</v>
      </c>
      <c r="U145" s="39">
        <v>0.0</v>
      </c>
      <c r="V145" s="39">
        <v>3891.0</v>
      </c>
      <c r="W145" s="39">
        <v>0.0</v>
      </c>
      <c r="X145" s="39">
        <v>19900.0</v>
      </c>
      <c r="Y145" s="39">
        <v>0.0</v>
      </c>
      <c r="Z145" s="39">
        <v>0.0</v>
      </c>
      <c r="AA145" s="39">
        <v>0.0</v>
      </c>
      <c r="AB145" s="39">
        <v>0.0</v>
      </c>
      <c r="AC145" s="39">
        <v>0.0</v>
      </c>
      <c r="AD145" s="39">
        <v>0.0</v>
      </c>
      <c r="AE145" s="39">
        <v>0.0</v>
      </c>
      <c r="AF145" s="39">
        <v>0.0</v>
      </c>
      <c r="AG145" s="39">
        <v>0.0</v>
      </c>
      <c r="AH145" s="39">
        <v>0.0</v>
      </c>
      <c r="AI145" s="39">
        <v>0.0</v>
      </c>
      <c r="AJ145" s="39">
        <v>0.0</v>
      </c>
      <c r="AK145" s="39">
        <v>0.0</v>
      </c>
      <c r="AL145" s="39">
        <v>4.60912410663E11</v>
      </c>
      <c r="AM145" s="39" t="s">
        <v>1209</v>
      </c>
      <c r="AN145" s="42">
        <v>0.11</v>
      </c>
      <c r="AO145" s="43">
        <v>1077.0</v>
      </c>
      <c r="AP145" s="39">
        <v>0.0</v>
      </c>
      <c r="AQ145" s="39">
        <v>0.0</v>
      </c>
      <c r="AR145" s="39">
        <v>0.0</v>
      </c>
      <c r="AS145" s="39">
        <v>1390.0</v>
      </c>
      <c r="AT145" s="39">
        <v>0.0</v>
      </c>
      <c r="AU145" s="39">
        <v>1390.0</v>
      </c>
      <c r="AV145" s="39">
        <v>0.0</v>
      </c>
      <c r="AW145" s="39">
        <v>0.0</v>
      </c>
      <c r="AX145" s="39">
        <v>0.0</v>
      </c>
      <c r="AY145" s="39">
        <v>0.0</v>
      </c>
      <c r="AZ145" s="39">
        <v>0.0</v>
      </c>
      <c r="BA145" s="39">
        <v>0.0</v>
      </c>
      <c r="BB145" s="39">
        <v>0.0</v>
      </c>
      <c r="BC145" s="39">
        <v>1424.0</v>
      </c>
      <c r="BD145" s="39">
        <v>0.0</v>
      </c>
      <c r="BE145" s="39">
        <v>0.0</v>
      </c>
      <c r="BF145" s="39">
        <v>0.0</v>
      </c>
      <c r="BG145" s="39">
        <v>0.0</v>
      </c>
      <c r="BH145" s="39">
        <v>0.0</v>
      </c>
      <c r="BI145" s="47"/>
    </row>
    <row r="146">
      <c r="A146" s="38">
        <f t="shared" si="1"/>
        <v>45985</v>
      </c>
      <c r="B146" s="39">
        <v>145.0</v>
      </c>
      <c r="C146" s="39" t="s">
        <v>1680</v>
      </c>
      <c r="D146" s="39">
        <v>1.0</v>
      </c>
      <c r="E146" s="39">
        <v>2.654834733E9</v>
      </c>
      <c r="F146" s="39" t="s">
        <v>1204</v>
      </c>
      <c r="G146" s="39" t="s">
        <v>1681</v>
      </c>
      <c r="H146" s="39" t="s">
        <v>1682</v>
      </c>
      <c r="I146" s="40">
        <v>45985.0</v>
      </c>
      <c r="J146" s="40">
        <v>45986.0</v>
      </c>
      <c r="K146" s="40">
        <v>45987.0</v>
      </c>
      <c r="L146" s="41">
        <v>45989.0</v>
      </c>
      <c r="M146" s="41">
        <v>45989.0</v>
      </c>
      <c r="N146" s="45">
        <v>45993.0</v>
      </c>
      <c r="O146" s="39">
        <v>8.718781954E9</v>
      </c>
      <c r="P146" s="39" t="s">
        <v>1287</v>
      </c>
      <c r="Q146" s="39" t="s">
        <v>1259</v>
      </c>
      <c r="R146" s="39">
        <v>1.0</v>
      </c>
      <c r="S146" s="39">
        <v>101736.0</v>
      </c>
      <c r="T146" s="39">
        <v>119000.0</v>
      </c>
      <c r="U146" s="39">
        <v>0.0</v>
      </c>
      <c r="V146" s="39">
        <v>17264.0</v>
      </c>
      <c r="W146" s="39">
        <v>0.0</v>
      </c>
      <c r="X146" s="39">
        <v>119000.0</v>
      </c>
      <c r="Y146" s="39">
        <v>0.0</v>
      </c>
      <c r="Z146" s="39">
        <v>0.0</v>
      </c>
      <c r="AA146" s="39">
        <v>0.0</v>
      </c>
      <c r="AB146" s="39">
        <v>0.0</v>
      </c>
      <c r="AC146" s="39">
        <v>0.0</v>
      </c>
      <c r="AD146" s="39">
        <v>0.0</v>
      </c>
      <c r="AE146" s="39">
        <v>0.0</v>
      </c>
      <c r="AF146" s="39">
        <v>0.0</v>
      </c>
      <c r="AG146" s="39">
        <v>0.0</v>
      </c>
      <c r="AH146" s="39">
        <v>0.0</v>
      </c>
      <c r="AI146" s="39">
        <v>0.0</v>
      </c>
      <c r="AJ146" s="39">
        <v>0.0</v>
      </c>
      <c r="AK146" s="39">
        <v>0.0</v>
      </c>
      <c r="AL146" s="39">
        <v>5.30643223582E11</v>
      </c>
      <c r="AM146" s="39" t="s">
        <v>1209</v>
      </c>
      <c r="AN146" s="42">
        <v>0.09</v>
      </c>
      <c r="AO146" s="43">
        <v>10710.0</v>
      </c>
      <c r="AP146" s="39">
        <v>0.0</v>
      </c>
      <c r="AQ146" s="39">
        <v>0.0</v>
      </c>
      <c r="AR146" s="39">
        <v>0.0</v>
      </c>
      <c r="AS146" s="39">
        <v>2000.0</v>
      </c>
      <c r="AT146" s="39">
        <v>2000.0</v>
      </c>
      <c r="AU146" s="39">
        <v>0.0</v>
      </c>
      <c r="AV146" s="39">
        <v>0.0</v>
      </c>
      <c r="AW146" s="39">
        <v>0.0</v>
      </c>
      <c r="AX146" s="39">
        <v>0.0</v>
      </c>
      <c r="AY146" s="39">
        <v>0.0</v>
      </c>
      <c r="AZ146" s="39">
        <v>0.0</v>
      </c>
      <c r="BA146" s="39">
        <v>0.0</v>
      </c>
      <c r="BB146" s="39">
        <v>0.0</v>
      </c>
      <c r="BC146" s="39">
        <v>4554.0</v>
      </c>
      <c r="BD146" s="39">
        <v>0.0</v>
      </c>
      <c r="BE146" s="39">
        <v>0.0</v>
      </c>
      <c r="BF146" s="39">
        <v>0.0</v>
      </c>
      <c r="BG146" s="39">
        <v>0.0</v>
      </c>
      <c r="BH146" s="39">
        <v>0.0</v>
      </c>
      <c r="BI146" s="47"/>
    </row>
    <row r="147">
      <c r="A147" s="38">
        <f t="shared" si="1"/>
        <v>45985</v>
      </c>
      <c r="B147" s="39">
        <v>146.0</v>
      </c>
      <c r="C147" s="39" t="s">
        <v>1683</v>
      </c>
      <c r="D147" s="39">
        <v>3.0</v>
      </c>
      <c r="E147" s="39">
        <v>2.654885117E9</v>
      </c>
      <c r="F147" s="39" t="s">
        <v>1204</v>
      </c>
      <c r="G147" s="39" t="s">
        <v>1684</v>
      </c>
      <c r="H147" s="39" t="s">
        <v>1685</v>
      </c>
      <c r="I147" s="40">
        <v>45985.0</v>
      </c>
      <c r="J147" s="40">
        <v>45986.0</v>
      </c>
      <c r="K147" s="40">
        <v>45987.0</v>
      </c>
      <c r="L147" s="41">
        <v>45987.0</v>
      </c>
      <c r="M147" s="41">
        <v>45987.0</v>
      </c>
      <c r="N147" s="41">
        <v>45989.0</v>
      </c>
      <c r="O147" s="39">
        <v>2.17249657E9</v>
      </c>
      <c r="P147" s="39" t="s">
        <v>1686</v>
      </c>
      <c r="Q147" s="39" t="s">
        <v>1687</v>
      </c>
      <c r="R147" s="39">
        <v>1.0</v>
      </c>
      <c r="S147" s="39">
        <v>14990.0</v>
      </c>
      <c r="T147" s="39">
        <v>22900.0</v>
      </c>
      <c r="U147" s="39">
        <v>0.0</v>
      </c>
      <c r="V147" s="39">
        <v>7910.0</v>
      </c>
      <c r="W147" s="39">
        <v>0.0</v>
      </c>
      <c r="X147" s="39">
        <v>22900.0</v>
      </c>
      <c r="Y147" s="39">
        <v>0.0</v>
      </c>
      <c r="Z147" s="39">
        <v>0.0</v>
      </c>
      <c r="AA147" s="39">
        <v>0.0</v>
      </c>
      <c r="AB147" s="39">
        <v>0.0</v>
      </c>
      <c r="AC147" s="39">
        <v>0.0</v>
      </c>
      <c r="AD147" s="39">
        <v>0.0</v>
      </c>
      <c r="AE147" s="39">
        <v>0.0</v>
      </c>
      <c r="AF147" s="39">
        <v>0.0</v>
      </c>
      <c r="AG147" s="39">
        <v>0.0</v>
      </c>
      <c r="AH147" s="39">
        <v>0.0</v>
      </c>
      <c r="AI147" s="39">
        <v>0.0</v>
      </c>
      <c r="AJ147" s="39">
        <v>0.0</v>
      </c>
      <c r="AK147" s="39">
        <v>0.0</v>
      </c>
      <c r="AL147" s="39">
        <v>4.60927219373E11</v>
      </c>
      <c r="AM147" s="39" t="s">
        <v>1209</v>
      </c>
      <c r="AN147" s="42">
        <v>0.13</v>
      </c>
      <c r="AO147" s="43">
        <v>809.0</v>
      </c>
      <c r="AP147" s="39">
        <v>0.0</v>
      </c>
      <c r="AQ147" s="39">
        <v>0.0</v>
      </c>
      <c r="AR147" s="39">
        <v>0.0</v>
      </c>
      <c r="AS147" s="39">
        <v>5680.0</v>
      </c>
      <c r="AT147" s="39">
        <v>2970.0</v>
      </c>
      <c r="AU147" s="39">
        <v>2710.0</v>
      </c>
      <c r="AV147" s="39">
        <v>0.0</v>
      </c>
      <c r="AW147" s="39">
        <v>0.0</v>
      </c>
      <c r="AX147" s="39">
        <v>0.0</v>
      </c>
      <c r="AY147" s="39">
        <v>0.0</v>
      </c>
      <c r="AZ147" s="39">
        <v>0.0</v>
      </c>
      <c r="BA147" s="39">
        <v>0.0</v>
      </c>
      <c r="BB147" s="39">
        <v>0.0</v>
      </c>
      <c r="BC147" s="39">
        <v>1421.0</v>
      </c>
      <c r="BD147" s="39">
        <v>0.0</v>
      </c>
      <c r="BE147" s="39">
        <v>0.0</v>
      </c>
      <c r="BF147" s="39">
        <v>0.0</v>
      </c>
      <c r="BG147" s="39">
        <v>0.0</v>
      </c>
      <c r="BH147" s="39">
        <v>0.0</v>
      </c>
      <c r="BI147" s="47"/>
    </row>
    <row r="148">
      <c r="A148" s="38">
        <f t="shared" si="1"/>
        <v>45986</v>
      </c>
      <c r="B148" s="39">
        <v>147.0</v>
      </c>
      <c r="C148" s="39" t="s">
        <v>1688</v>
      </c>
      <c r="D148" s="39">
        <v>2.0</v>
      </c>
      <c r="E148" s="39">
        <v>2.655026102E9</v>
      </c>
      <c r="F148" s="39" t="s">
        <v>1204</v>
      </c>
      <c r="G148" s="39" t="s">
        <v>1689</v>
      </c>
      <c r="H148" s="39" t="s">
        <v>1690</v>
      </c>
      <c r="I148" s="40">
        <v>45986.0</v>
      </c>
      <c r="J148" s="40">
        <v>45986.0</v>
      </c>
      <c r="K148" s="40">
        <v>45987.0</v>
      </c>
      <c r="L148" s="41">
        <v>45989.0</v>
      </c>
      <c r="M148" s="41">
        <v>45989.0</v>
      </c>
      <c r="N148" s="45">
        <v>45993.0</v>
      </c>
      <c r="O148" s="39">
        <v>7.811497488E9</v>
      </c>
      <c r="P148" s="39" t="s">
        <v>1691</v>
      </c>
      <c r="Q148" s="39" t="s">
        <v>1219</v>
      </c>
      <c r="R148" s="39">
        <v>1.0</v>
      </c>
      <c r="S148" s="39">
        <v>95216.0</v>
      </c>
      <c r="T148" s="39">
        <v>189000.0</v>
      </c>
      <c r="U148" s="39">
        <v>0.0</v>
      </c>
      <c r="V148" s="39">
        <v>93784.0</v>
      </c>
      <c r="W148" s="39">
        <v>95216.0</v>
      </c>
      <c r="X148" s="39">
        <v>189000.0</v>
      </c>
      <c r="Y148" s="39">
        <v>0.0</v>
      </c>
      <c r="Z148" s="39">
        <v>0.0</v>
      </c>
      <c r="AA148" s="39">
        <v>0.0</v>
      </c>
      <c r="AB148" s="39">
        <v>0.0</v>
      </c>
      <c r="AC148" s="39">
        <v>0.0</v>
      </c>
      <c r="AD148" s="39">
        <v>0.0</v>
      </c>
      <c r="AE148" s="39">
        <v>0.0</v>
      </c>
      <c r="AF148" s="39">
        <v>0.0</v>
      </c>
      <c r="AG148" s="39">
        <v>0.0</v>
      </c>
      <c r="AH148" s="39">
        <v>0.0</v>
      </c>
      <c r="AI148" s="39">
        <v>0.0</v>
      </c>
      <c r="AJ148" s="39">
        <v>0.0</v>
      </c>
      <c r="AK148" s="39">
        <v>0.0</v>
      </c>
      <c r="AL148" s="39">
        <v>4.609331377E11</v>
      </c>
      <c r="AM148" s="39" t="s">
        <v>1209</v>
      </c>
      <c r="AN148" s="42">
        <v>0.09</v>
      </c>
      <c r="AO148" s="43">
        <v>17010.0</v>
      </c>
      <c r="AP148" s="39">
        <v>0.0</v>
      </c>
      <c r="AQ148" s="39">
        <v>0.0</v>
      </c>
      <c r="AR148" s="39">
        <v>0.0</v>
      </c>
      <c r="AS148" s="39">
        <v>72000.0</v>
      </c>
      <c r="AT148" s="39">
        <v>72000.0</v>
      </c>
      <c r="AU148" s="39">
        <v>0.0</v>
      </c>
      <c r="AV148" s="39">
        <v>0.0</v>
      </c>
      <c r="AW148" s="39">
        <v>0.0</v>
      </c>
      <c r="AX148" s="39">
        <v>0.0</v>
      </c>
      <c r="AY148" s="39">
        <v>0.0</v>
      </c>
      <c r="AZ148" s="39">
        <v>0.0</v>
      </c>
      <c r="BA148" s="39">
        <v>0.0</v>
      </c>
      <c r="BB148" s="39">
        <v>0.0</v>
      </c>
      <c r="BC148" s="39">
        <v>4774.0</v>
      </c>
      <c r="BD148" s="39">
        <v>0.0</v>
      </c>
      <c r="BE148" s="39">
        <v>0.0</v>
      </c>
      <c r="BF148" s="39">
        <v>0.0</v>
      </c>
      <c r="BG148" s="39">
        <v>0.0</v>
      </c>
      <c r="BH148" s="39">
        <v>0.0</v>
      </c>
      <c r="BI148" s="47"/>
    </row>
    <row r="149">
      <c r="A149" s="38">
        <f t="shared" si="1"/>
        <v>45986</v>
      </c>
      <c r="B149" s="39">
        <v>148.0</v>
      </c>
      <c r="C149" s="39" t="s">
        <v>1692</v>
      </c>
      <c r="D149" s="39">
        <v>1.0</v>
      </c>
      <c r="E149" s="39">
        <v>2.655146951E9</v>
      </c>
      <c r="F149" s="39" t="s">
        <v>1204</v>
      </c>
      <c r="G149" s="39" t="s">
        <v>1693</v>
      </c>
      <c r="H149" s="39" t="s">
        <v>1694</v>
      </c>
      <c r="I149" s="40">
        <v>45986.0</v>
      </c>
      <c r="J149" s="40">
        <v>45987.0</v>
      </c>
      <c r="K149" s="40">
        <v>45988.0</v>
      </c>
      <c r="L149" s="41">
        <v>45989.0</v>
      </c>
      <c r="M149" s="41">
        <v>45989.0</v>
      </c>
      <c r="N149" s="45">
        <v>45993.0</v>
      </c>
      <c r="O149" s="39">
        <v>4.968370224E9</v>
      </c>
      <c r="P149" s="39" t="s">
        <v>1240</v>
      </c>
      <c r="Q149" s="39" t="s">
        <v>1695</v>
      </c>
      <c r="R149" s="39">
        <v>1.0</v>
      </c>
      <c r="S149" s="39">
        <v>14545.0</v>
      </c>
      <c r="T149" s="39">
        <v>20000.0</v>
      </c>
      <c r="U149" s="39">
        <v>0.0</v>
      </c>
      <c r="V149" s="39">
        <v>5455.0</v>
      </c>
      <c r="W149" s="39">
        <v>0.0</v>
      </c>
      <c r="X149" s="39">
        <v>20000.0</v>
      </c>
      <c r="Y149" s="39">
        <v>0.0</v>
      </c>
      <c r="Z149" s="39">
        <v>0.0</v>
      </c>
      <c r="AA149" s="39">
        <v>0.0</v>
      </c>
      <c r="AB149" s="39">
        <v>0.0</v>
      </c>
      <c r="AC149" s="39">
        <v>0.0</v>
      </c>
      <c r="AD149" s="39">
        <v>0.0</v>
      </c>
      <c r="AE149" s="39">
        <v>0.0</v>
      </c>
      <c r="AF149" s="39">
        <v>0.0</v>
      </c>
      <c r="AG149" s="39">
        <v>0.0</v>
      </c>
      <c r="AH149" s="39">
        <v>0.0</v>
      </c>
      <c r="AI149" s="39">
        <v>0.0</v>
      </c>
      <c r="AJ149" s="39">
        <v>0.0</v>
      </c>
      <c r="AK149" s="39">
        <v>0.0</v>
      </c>
      <c r="AL149" s="39">
        <v>4.60939104802E11</v>
      </c>
      <c r="AM149" s="39" t="s">
        <v>1209</v>
      </c>
      <c r="AN149" s="42">
        <v>0.13</v>
      </c>
      <c r="AO149" s="43">
        <v>1736.0</v>
      </c>
      <c r="AP149" s="39">
        <v>0.0</v>
      </c>
      <c r="AQ149" s="39">
        <v>0.0</v>
      </c>
      <c r="AR149" s="39">
        <v>0.0</v>
      </c>
      <c r="AS149" s="39">
        <v>1880.0</v>
      </c>
      <c r="AT149" s="39">
        <v>800.0</v>
      </c>
      <c r="AU149" s="39">
        <v>1080.0</v>
      </c>
      <c r="AV149" s="39">
        <v>0.0</v>
      </c>
      <c r="AW149" s="39">
        <v>0.0</v>
      </c>
      <c r="AX149" s="39">
        <v>0.0</v>
      </c>
      <c r="AY149" s="39">
        <v>0.0</v>
      </c>
      <c r="AZ149" s="39">
        <v>0.0</v>
      </c>
      <c r="BA149" s="39">
        <v>0.0</v>
      </c>
      <c r="BB149" s="39">
        <v>0.0</v>
      </c>
      <c r="BC149" s="39">
        <v>1839.0</v>
      </c>
      <c r="BD149" s="39">
        <v>0.0</v>
      </c>
      <c r="BE149" s="39">
        <v>0.0</v>
      </c>
      <c r="BF149" s="39">
        <v>0.0</v>
      </c>
      <c r="BG149" s="39">
        <v>0.0</v>
      </c>
      <c r="BH149" s="39">
        <v>0.0</v>
      </c>
      <c r="BI149" s="47"/>
    </row>
    <row r="150">
      <c r="A150" s="38">
        <f t="shared" si="1"/>
        <v>45987</v>
      </c>
      <c r="B150" s="39">
        <v>149.0</v>
      </c>
      <c r="C150" s="39" t="s">
        <v>1696</v>
      </c>
      <c r="D150" s="39">
        <v>1.0</v>
      </c>
      <c r="E150" s="39">
        <v>2.655226325E9</v>
      </c>
      <c r="F150" s="39" t="s">
        <v>1204</v>
      </c>
      <c r="G150" s="39" t="s">
        <v>1697</v>
      </c>
      <c r="H150" s="39" t="s">
        <v>1698</v>
      </c>
      <c r="I150" s="40">
        <v>45987.0</v>
      </c>
      <c r="J150" s="40">
        <v>45987.0</v>
      </c>
      <c r="K150" s="40">
        <v>45988.0</v>
      </c>
      <c r="L150" s="45">
        <v>45992.0</v>
      </c>
      <c r="M150" s="45">
        <v>45992.0</v>
      </c>
      <c r="N150" s="45">
        <v>45994.0</v>
      </c>
      <c r="O150" s="39">
        <v>7.811497488E9</v>
      </c>
      <c r="P150" s="39" t="s">
        <v>1691</v>
      </c>
      <c r="Q150" s="39" t="s">
        <v>1219</v>
      </c>
      <c r="R150" s="39">
        <v>1.0</v>
      </c>
      <c r="S150" s="39">
        <v>99770.0</v>
      </c>
      <c r="T150" s="39">
        <v>189000.0</v>
      </c>
      <c r="U150" s="39">
        <v>0.0</v>
      </c>
      <c r="V150" s="39">
        <v>89230.0</v>
      </c>
      <c r="W150" s="39">
        <v>41356.0</v>
      </c>
      <c r="X150" s="39">
        <v>189000.0</v>
      </c>
      <c r="Y150" s="39">
        <v>0.0</v>
      </c>
      <c r="Z150" s="39">
        <v>0.0</v>
      </c>
      <c r="AA150" s="39">
        <v>0.0</v>
      </c>
      <c r="AB150" s="39">
        <v>0.0</v>
      </c>
      <c r="AC150" s="39">
        <v>0.0</v>
      </c>
      <c r="AD150" s="39">
        <v>0.0</v>
      </c>
      <c r="AE150" s="39">
        <v>0.0</v>
      </c>
      <c r="AF150" s="39">
        <v>0.0</v>
      </c>
      <c r="AG150" s="39">
        <v>0.0</v>
      </c>
      <c r="AH150" s="39">
        <v>0.0</v>
      </c>
      <c r="AI150" s="39">
        <v>0.0</v>
      </c>
      <c r="AJ150" s="39">
        <v>0.0</v>
      </c>
      <c r="AK150" s="39">
        <v>0.0</v>
      </c>
      <c r="AL150" s="39">
        <v>4.60939104835E11</v>
      </c>
      <c r="AM150" s="39" t="s">
        <v>1209</v>
      </c>
      <c r="AN150" s="42">
        <v>0.09</v>
      </c>
      <c r="AO150" s="43">
        <v>17010.0</v>
      </c>
      <c r="AP150" s="39">
        <v>0.0</v>
      </c>
      <c r="AQ150" s="39">
        <v>0.0</v>
      </c>
      <c r="AR150" s="39">
        <v>0.0</v>
      </c>
      <c r="AS150" s="39">
        <v>72000.0</v>
      </c>
      <c r="AT150" s="39">
        <v>72000.0</v>
      </c>
      <c r="AU150" s="39">
        <v>0.0</v>
      </c>
      <c r="AV150" s="39">
        <v>0.0</v>
      </c>
      <c r="AW150" s="39">
        <v>0.0</v>
      </c>
      <c r="AX150" s="39">
        <v>0.0</v>
      </c>
      <c r="AY150" s="39">
        <v>0.0</v>
      </c>
      <c r="AZ150" s="39">
        <v>0.0</v>
      </c>
      <c r="BA150" s="39">
        <v>0.0</v>
      </c>
      <c r="BB150" s="39">
        <v>0.0</v>
      </c>
      <c r="BC150" s="39">
        <v>220.0</v>
      </c>
      <c r="BD150" s="39">
        <v>0.0</v>
      </c>
      <c r="BE150" s="39">
        <v>0.0</v>
      </c>
      <c r="BF150" s="39">
        <v>0.0</v>
      </c>
      <c r="BG150" s="39">
        <v>0.0</v>
      </c>
      <c r="BH150" s="39">
        <v>0.0</v>
      </c>
      <c r="BI150" s="47"/>
    </row>
    <row r="151">
      <c r="A151" s="38">
        <f t="shared" si="1"/>
        <v>45987</v>
      </c>
      <c r="B151" s="39">
        <v>150.0</v>
      </c>
      <c r="C151" s="39" t="s">
        <v>1699</v>
      </c>
      <c r="D151" s="39">
        <v>1.0</v>
      </c>
      <c r="E151" s="39">
        <v>2.655256642E9</v>
      </c>
      <c r="F151" s="39" t="s">
        <v>1204</v>
      </c>
      <c r="G151" s="39" t="s">
        <v>1700</v>
      </c>
      <c r="H151" s="39" t="s">
        <v>1701</v>
      </c>
      <c r="I151" s="40">
        <v>45987.0</v>
      </c>
      <c r="J151" s="40">
        <v>45987.0</v>
      </c>
      <c r="K151" s="40">
        <v>45988.0</v>
      </c>
      <c r="L151" s="45">
        <v>45992.0</v>
      </c>
      <c r="M151" s="45">
        <v>45992.0</v>
      </c>
      <c r="N151" s="45">
        <v>45994.0</v>
      </c>
      <c r="O151" s="39">
        <v>7.175614365E9</v>
      </c>
      <c r="P151" s="39" t="s">
        <v>1263</v>
      </c>
      <c r="Q151" s="39" t="s">
        <v>1219</v>
      </c>
      <c r="R151" s="39">
        <v>1.0</v>
      </c>
      <c r="S151" s="39">
        <v>11656.0</v>
      </c>
      <c r="T151" s="39">
        <v>15000.0</v>
      </c>
      <c r="U151" s="39">
        <v>0.0</v>
      </c>
      <c r="V151" s="39">
        <v>3344.0</v>
      </c>
      <c r="W151" s="39">
        <v>0.0</v>
      </c>
      <c r="X151" s="39">
        <v>15000.0</v>
      </c>
      <c r="Y151" s="39">
        <v>0.0</v>
      </c>
      <c r="Z151" s="39">
        <v>0.0</v>
      </c>
      <c r="AA151" s="39">
        <v>0.0</v>
      </c>
      <c r="AB151" s="39">
        <v>0.0</v>
      </c>
      <c r="AC151" s="39">
        <v>0.0</v>
      </c>
      <c r="AD151" s="39">
        <v>0.0</v>
      </c>
      <c r="AE151" s="39">
        <v>0.0</v>
      </c>
      <c r="AF151" s="39">
        <v>0.0</v>
      </c>
      <c r="AG151" s="39">
        <v>0.0</v>
      </c>
      <c r="AH151" s="39">
        <v>0.0</v>
      </c>
      <c r="AI151" s="39">
        <v>0.0</v>
      </c>
      <c r="AJ151" s="39">
        <v>0.0</v>
      </c>
      <c r="AK151" s="39">
        <v>0.0</v>
      </c>
      <c r="AL151" s="39">
        <v>4.60942809843E11</v>
      </c>
      <c r="AM151" s="39" t="s">
        <v>1209</v>
      </c>
      <c r="AN151" s="42">
        <v>0.09</v>
      </c>
      <c r="AO151" s="43">
        <v>510.0</v>
      </c>
      <c r="AP151" s="39">
        <v>0.0</v>
      </c>
      <c r="AQ151" s="39">
        <v>0.0</v>
      </c>
      <c r="AR151" s="39">
        <v>0.0</v>
      </c>
      <c r="AS151" s="39">
        <v>1050.0</v>
      </c>
      <c r="AT151" s="39">
        <v>0.0</v>
      </c>
      <c r="AU151" s="39">
        <v>1050.0</v>
      </c>
      <c r="AV151" s="39">
        <v>0.0</v>
      </c>
      <c r="AW151" s="39">
        <v>0.0</v>
      </c>
      <c r="AX151" s="39">
        <v>0.0</v>
      </c>
      <c r="AY151" s="39">
        <v>0.0</v>
      </c>
      <c r="AZ151" s="39">
        <v>0.0</v>
      </c>
      <c r="BA151" s="39">
        <v>0.0</v>
      </c>
      <c r="BB151" s="39">
        <v>0.0</v>
      </c>
      <c r="BC151" s="39">
        <v>1784.0</v>
      </c>
      <c r="BD151" s="39">
        <v>0.0</v>
      </c>
      <c r="BE151" s="39">
        <v>0.0</v>
      </c>
      <c r="BF151" s="39">
        <v>0.0</v>
      </c>
      <c r="BG151" s="39">
        <v>0.0</v>
      </c>
      <c r="BH151" s="39">
        <v>0.0</v>
      </c>
      <c r="BI151" s="47"/>
    </row>
    <row r="152">
      <c r="A152" s="38">
        <f t="shared" si="1"/>
        <v>45987</v>
      </c>
      <c r="B152" s="39">
        <v>151.0</v>
      </c>
      <c r="C152" s="39" t="s">
        <v>1702</v>
      </c>
      <c r="D152" s="39">
        <v>1.0</v>
      </c>
      <c r="E152" s="39">
        <v>2.655311693E9</v>
      </c>
      <c r="F152" s="39" t="s">
        <v>1204</v>
      </c>
      <c r="G152" s="39" t="s">
        <v>1703</v>
      </c>
      <c r="H152" s="39" t="s">
        <v>1704</v>
      </c>
      <c r="I152" s="40">
        <v>45987.0</v>
      </c>
      <c r="J152" s="40">
        <v>45987.0</v>
      </c>
      <c r="K152" s="40">
        <v>45988.0</v>
      </c>
      <c r="L152" s="41">
        <v>45990.0</v>
      </c>
      <c r="M152" s="41">
        <v>45990.0</v>
      </c>
      <c r="N152" s="45">
        <v>45993.0</v>
      </c>
      <c r="O152" s="39">
        <v>6.342749718E9</v>
      </c>
      <c r="P152" s="39" t="s">
        <v>1213</v>
      </c>
      <c r="Q152" s="39" t="s">
        <v>1283</v>
      </c>
      <c r="R152" s="39">
        <v>1.0</v>
      </c>
      <c r="S152" s="39">
        <v>23664.0</v>
      </c>
      <c r="T152" s="39">
        <v>59000.0</v>
      </c>
      <c r="U152" s="39">
        <v>0.0</v>
      </c>
      <c r="V152" s="39">
        <v>35336.0</v>
      </c>
      <c r="W152" s="39">
        <v>0.0</v>
      </c>
      <c r="X152" s="39">
        <v>59000.0</v>
      </c>
      <c r="Y152" s="39">
        <v>0.0</v>
      </c>
      <c r="Z152" s="39">
        <v>0.0</v>
      </c>
      <c r="AA152" s="39">
        <v>0.0</v>
      </c>
      <c r="AB152" s="39">
        <v>0.0</v>
      </c>
      <c r="AC152" s="39">
        <v>0.0</v>
      </c>
      <c r="AD152" s="39">
        <v>0.0</v>
      </c>
      <c r="AE152" s="39">
        <v>0.0</v>
      </c>
      <c r="AF152" s="39">
        <v>0.0</v>
      </c>
      <c r="AG152" s="39">
        <v>0.0</v>
      </c>
      <c r="AH152" s="39">
        <v>0.0</v>
      </c>
      <c r="AI152" s="39">
        <v>0.0</v>
      </c>
      <c r="AJ152" s="39">
        <v>0.0</v>
      </c>
      <c r="AK152" s="39">
        <v>0.0</v>
      </c>
      <c r="AL152" s="39">
        <v>4.6094392554E11</v>
      </c>
      <c r="AM152" s="39" t="s">
        <v>1209</v>
      </c>
      <c r="AN152" s="42">
        <v>0.09</v>
      </c>
      <c r="AO152" s="43">
        <v>3710.0</v>
      </c>
      <c r="AP152" s="39">
        <v>0.0</v>
      </c>
      <c r="AQ152" s="39">
        <v>0.0</v>
      </c>
      <c r="AR152" s="39">
        <v>0.0</v>
      </c>
      <c r="AS152" s="39">
        <v>31100.0</v>
      </c>
      <c r="AT152" s="39">
        <v>29100.0</v>
      </c>
      <c r="AU152" s="39">
        <v>2000.0</v>
      </c>
      <c r="AV152" s="39">
        <v>0.0</v>
      </c>
      <c r="AW152" s="39">
        <v>0.0</v>
      </c>
      <c r="AX152" s="39">
        <v>0.0</v>
      </c>
      <c r="AY152" s="39">
        <v>0.0</v>
      </c>
      <c r="AZ152" s="39">
        <v>0.0</v>
      </c>
      <c r="BA152" s="39">
        <v>0.0</v>
      </c>
      <c r="BB152" s="39">
        <v>0.0</v>
      </c>
      <c r="BC152" s="39">
        <v>526.0</v>
      </c>
      <c r="BD152" s="39">
        <v>0.0</v>
      </c>
      <c r="BE152" s="39">
        <v>0.0</v>
      </c>
      <c r="BF152" s="39">
        <v>0.0</v>
      </c>
      <c r="BG152" s="39">
        <v>0.0</v>
      </c>
      <c r="BH152" s="39">
        <v>0.0</v>
      </c>
      <c r="BI152" s="47"/>
    </row>
    <row r="153">
      <c r="A153" s="38">
        <f t="shared" si="1"/>
        <v>45988</v>
      </c>
      <c r="B153" s="39">
        <v>152.0</v>
      </c>
      <c r="C153" s="39" t="s">
        <v>1705</v>
      </c>
      <c r="D153" s="39">
        <v>1.0</v>
      </c>
      <c r="E153" s="39">
        <v>2.655633888E9</v>
      </c>
      <c r="F153" s="39" t="s">
        <v>1204</v>
      </c>
      <c r="G153" s="39" t="s">
        <v>1706</v>
      </c>
      <c r="H153" s="39" t="s">
        <v>1707</v>
      </c>
      <c r="I153" s="40">
        <v>45988.0</v>
      </c>
      <c r="J153" s="40">
        <v>45989.0</v>
      </c>
      <c r="K153" s="40">
        <v>45990.0</v>
      </c>
      <c r="L153" s="45">
        <v>45992.0</v>
      </c>
      <c r="M153" s="45">
        <v>45992.0</v>
      </c>
      <c r="N153" s="45">
        <v>45994.0</v>
      </c>
      <c r="O153" s="39">
        <v>7.996735307E9</v>
      </c>
      <c r="P153" s="39" t="s">
        <v>1416</v>
      </c>
      <c r="Q153" s="39" t="s">
        <v>1208</v>
      </c>
      <c r="R153" s="39">
        <v>1.0</v>
      </c>
      <c r="S153" s="39">
        <v>13348.0</v>
      </c>
      <c r="T153" s="39">
        <v>15000.0</v>
      </c>
      <c r="U153" s="39">
        <v>0.0</v>
      </c>
      <c r="V153" s="39">
        <v>1652.0</v>
      </c>
      <c r="W153" s="39">
        <v>13348.0</v>
      </c>
      <c r="X153" s="39">
        <v>15000.0</v>
      </c>
      <c r="Y153" s="39">
        <v>0.0</v>
      </c>
      <c r="Z153" s="39">
        <v>0.0</v>
      </c>
      <c r="AA153" s="39">
        <v>0.0</v>
      </c>
      <c r="AB153" s="39">
        <v>0.0</v>
      </c>
      <c r="AC153" s="39">
        <v>0.0</v>
      </c>
      <c r="AD153" s="39">
        <v>0.0</v>
      </c>
      <c r="AE153" s="39">
        <v>0.0</v>
      </c>
      <c r="AF153" s="39">
        <v>0.0</v>
      </c>
      <c r="AG153" s="39">
        <v>0.0</v>
      </c>
      <c r="AH153" s="39">
        <v>0.0</v>
      </c>
      <c r="AI153" s="39">
        <v>0.0</v>
      </c>
      <c r="AJ153" s="39">
        <v>0.0</v>
      </c>
      <c r="AK153" s="39">
        <v>0.0</v>
      </c>
      <c r="AL153" s="39">
        <v>4.6095906192E11</v>
      </c>
      <c r="AM153" s="39" t="s">
        <v>1209</v>
      </c>
      <c r="AN153" s="42">
        <v>0.09</v>
      </c>
      <c r="AO153" s="43">
        <v>942.0</v>
      </c>
      <c r="AP153" s="39">
        <v>0.0</v>
      </c>
      <c r="AQ153" s="39">
        <v>0.0</v>
      </c>
      <c r="AR153" s="39">
        <v>0.0</v>
      </c>
      <c r="AS153" s="39">
        <v>510.0</v>
      </c>
      <c r="AT153" s="39">
        <v>0.0</v>
      </c>
      <c r="AU153" s="39">
        <v>510.0</v>
      </c>
      <c r="AV153" s="39">
        <v>0.0</v>
      </c>
      <c r="AW153" s="39">
        <v>0.0</v>
      </c>
      <c r="AX153" s="39">
        <v>0.0</v>
      </c>
      <c r="AY153" s="39">
        <v>0.0</v>
      </c>
      <c r="AZ153" s="39">
        <v>0.0</v>
      </c>
      <c r="BA153" s="39">
        <v>0.0</v>
      </c>
      <c r="BB153" s="39">
        <v>0.0</v>
      </c>
      <c r="BC153" s="39">
        <v>200.0</v>
      </c>
      <c r="BD153" s="39">
        <v>0.0</v>
      </c>
      <c r="BE153" s="39">
        <v>0.0</v>
      </c>
      <c r="BF153" s="39">
        <v>0.0</v>
      </c>
      <c r="BG153" s="39">
        <v>0.0</v>
      </c>
      <c r="BH153" s="39">
        <v>0.0</v>
      </c>
      <c r="BI153" s="47"/>
    </row>
    <row r="154">
      <c r="A154" s="38">
        <f t="shared" si="1"/>
        <v>45989</v>
      </c>
      <c r="B154" s="39">
        <v>153.0</v>
      </c>
      <c r="C154" s="39" t="s">
        <v>1708</v>
      </c>
      <c r="D154" s="39">
        <v>1.0</v>
      </c>
      <c r="E154" s="39">
        <v>2.655688115E9</v>
      </c>
      <c r="F154" s="39" t="s">
        <v>1204</v>
      </c>
      <c r="G154" s="39" t="s">
        <v>1709</v>
      </c>
      <c r="H154" s="39" t="s">
        <v>1710</v>
      </c>
      <c r="I154" s="40">
        <v>45989.0</v>
      </c>
      <c r="J154" s="40">
        <v>45989.0</v>
      </c>
      <c r="K154" s="40">
        <v>45990.0</v>
      </c>
      <c r="L154" s="41">
        <v>45990.0</v>
      </c>
      <c r="M154" s="41">
        <v>45990.0</v>
      </c>
      <c r="N154" s="45">
        <v>45993.0</v>
      </c>
      <c r="O154" s="39">
        <v>8.218722209E9</v>
      </c>
      <c r="P154" s="39" t="s">
        <v>1615</v>
      </c>
      <c r="Q154" s="39" t="s">
        <v>1711</v>
      </c>
      <c r="R154" s="39">
        <v>1.0</v>
      </c>
      <c r="S154" s="39">
        <v>21471.0</v>
      </c>
      <c r="T154" s="39">
        <v>28000.0</v>
      </c>
      <c r="U154" s="39">
        <v>0.0</v>
      </c>
      <c r="V154" s="39">
        <v>6529.0</v>
      </c>
      <c r="W154" s="39">
        <v>21471.0</v>
      </c>
      <c r="X154" s="39">
        <v>28000.0</v>
      </c>
      <c r="Y154" s="39">
        <v>0.0</v>
      </c>
      <c r="Z154" s="39">
        <v>0.0</v>
      </c>
      <c r="AA154" s="39">
        <v>0.0</v>
      </c>
      <c r="AB154" s="39">
        <v>0.0</v>
      </c>
      <c r="AC154" s="39">
        <v>0.0</v>
      </c>
      <c r="AD154" s="39">
        <v>0.0</v>
      </c>
      <c r="AE154" s="39">
        <v>0.0</v>
      </c>
      <c r="AF154" s="39">
        <v>0.0</v>
      </c>
      <c r="AG154" s="39">
        <v>0.0</v>
      </c>
      <c r="AH154" s="39">
        <v>0.0</v>
      </c>
      <c r="AI154" s="39">
        <v>0.0</v>
      </c>
      <c r="AJ154" s="39">
        <v>0.0</v>
      </c>
      <c r="AK154" s="39">
        <v>0.0</v>
      </c>
      <c r="AL154" s="39">
        <v>4.60959061942E11</v>
      </c>
      <c r="AM154" s="39" t="s">
        <v>1209</v>
      </c>
      <c r="AN154" s="42">
        <v>0.09</v>
      </c>
      <c r="AO154" s="43">
        <v>2520.0</v>
      </c>
      <c r="AP154" s="39">
        <v>0.0</v>
      </c>
      <c r="AQ154" s="39">
        <v>0.0</v>
      </c>
      <c r="AR154" s="39">
        <v>0.0</v>
      </c>
      <c r="AS154" s="39">
        <v>2100.0</v>
      </c>
      <c r="AT154" s="39">
        <v>2100.0</v>
      </c>
      <c r="AU154" s="39">
        <v>0.0</v>
      </c>
      <c r="AV154" s="39">
        <v>0.0</v>
      </c>
      <c r="AW154" s="39">
        <v>0.0</v>
      </c>
      <c r="AX154" s="39">
        <v>0.0</v>
      </c>
      <c r="AY154" s="39">
        <v>0.0</v>
      </c>
      <c r="AZ154" s="39">
        <v>0.0</v>
      </c>
      <c r="BA154" s="39">
        <v>0.0</v>
      </c>
      <c r="BB154" s="39">
        <v>0.0</v>
      </c>
      <c r="BC154" s="39">
        <v>1909.0</v>
      </c>
      <c r="BD154" s="39">
        <v>0.0</v>
      </c>
      <c r="BE154" s="39">
        <v>0.0</v>
      </c>
      <c r="BF154" s="39">
        <v>0.0</v>
      </c>
      <c r="BG154" s="39">
        <v>0.0</v>
      </c>
      <c r="BH154" s="39">
        <v>0.0</v>
      </c>
      <c r="BI154" s="47"/>
    </row>
    <row r="155">
      <c r="A155" s="38">
        <f t="shared" si="1"/>
        <v>45966</v>
      </c>
      <c r="B155" s="39">
        <v>154.0</v>
      </c>
      <c r="C155" s="39" t="s">
        <v>1712</v>
      </c>
      <c r="D155" s="39">
        <v>1.0</v>
      </c>
      <c r="E155" s="39">
        <v>2.649323314E9</v>
      </c>
      <c r="F155" s="39" t="s">
        <v>290</v>
      </c>
      <c r="G155" s="39" t="s">
        <v>1713</v>
      </c>
      <c r="H155" s="39" t="s">
        <v>1714</v>
      </c>
      <c r="I155" s="40">
        <v>45966.0</v>
      </c>
      <c r="J155" s="40">
        <v>45967.0</v>
      </c>
      <c r="K155" s="40">
        <v>45968.0</v>
      </c>
      <c r="L155" s="48"/>
      <c r="M155" s="41">
        <v>45973.0</v>
      </c>
      <c r="N155" s="41">
        <v>45975.0</v>
      </c>
      <c r="O155" s="39">
        <v>8.718794512E9</v>
      </c>
      <c r="P155" s="39" t="s">
        <v>1551</v>
      </c>
      <c r="Q155" s="39" t="s">
        <v>1715</v>
      </c>
      <c r="R155" s="39">
        <v>0.0</v>
      </c>
      <c r="S155" s="39">
        <v>6000.0</v>
      </c>
      <c r="T155" s="39">
        <v>6000.0</v>
      </c>
      <c r="U155" s="39">
        <v>0.0</v>
      </c>
      <c r="V155" s="39">
        <v>0.0</v>
      </c>
      <c r="W155" s="39">
        <v>0.0</v>
      </c>
      <c r="X155" s="39">
        <v>0.0</v>
      </c>
      <c r="Y155" s="39">
        <v>0.0</v>
      </c>
      <c r="Z155" s="39">
        <v>0.0</v>
      </c>
      <c r="AA155" s="39">
        <v>0.0</v>
      </c>
      <c r="AB155" s="39">
        <v>6000.0</v>
      </c>
      <c r="AC155" s="39">
        <v>0.0</v>
      </c>
      <c r="AD155" s="39">
        <v>0.0</v>
      </c>
      <c r="AE155" s="39">
        <v>0.0</v>
      </c>
      <c r="AF155" s="39">
        <v>0.0</v>
      </c>
      <c r="AG155" s="39">
        <v>0.0</v>
      </c>
      <c r="AH155" s="39">
        <v>0.0</v>
      </c>
      <c r="AI155" s="39">
        <v>0.0</v>
      </c>
      <c r="AJ155" s="39">
        <v>0.0</v>
      </c>
      <c r="AK155" s="39">
        <v>0.0</v>
      </c>
      <c r="AL155" s="39">
        <v>5.30623178835E11</v>
      </c>
      <c r="AM155" s="39" t="s">
        <v>1209</v>
      </c>
      <c r="AN155" s="42">
        <v>0.0</v>
      </c>
      <c r="AO155" s="43">
        <v>0.0</v>
      </c>
      <c r="AP155" s="39">
        <v>0.0</v>
      </c>
      <c r="AQ155" s="39">
        <v>0.0</v>
      </c>
      <c r="AR155" s="39">
        <v>0.0</v>
      </c>
      <c r="AS155" s="39">
        <v>0.0</v>
      </c>
      <c r="AT155" s="39">
        <v>0.0</v>
      </c>
      <c r="AU155" s="39">
        <v>0.0</v>
      </c>
      <c r="AV155" s="39">
        <v>0.0</v>
      </c>
      <c r="AW155" s="39">
        <v>0.0</v>
      </c>
      <c r="AX155" s="39">
        <v>0.0</v>
      </c>
      <c r="AY155" s="39">
        <v>0.0</v>
      </c>
      <c r="AZ155" s="39">
        <v>0.0</v>
      </c>
      <c r="BA155" s="39">
        <v>0.0</v>
      </c>
      <c r="BB155" s="39">
        <v>0.0</v>
      </c>
      <c r="BC155" s="39">
        <v>0.0</v>
      </c>
      <c r="BD155" s="39">
        <v>0.0</v>
      </c>
      <c r="BE155" s="39">
        <v>0.0</v>
      </c>
      <c r="BF155" s="39">
        <v>0.0</v>
      </c>
      <c r="BG155" s="39">
        <v>0.0</v>
      </c>
      <c r="BH155" s="39">
        <v>0.0</v>
      </c>
      <c r="BI155" s="47"/>
    </row>
    <row r="156">
      <c r="A156" s="38">
        <f t="shared" si="1"/>
        <v>45967</v>
      </c>
      <c r="B156" s="39">
        <v>155.0</v>
      </c>
      <c r="C156" s="39" t="s">
        <v>1716</v>
      </c>
      <c r="D156" s="39">
        <v>1.0</v>
      </c>
      <c r="E156" s="39">
        <v>2.649718858E9</v>
      </c>
      <c r="F156" s="39" t="s">
        <v>290</v>
      </c>
      <c r="G156" s="39" t="s">
        <v>1717</v>
      </c>
      <c r="H156" s="39" t="s">
        <v>1718</v>
      </c>
      <c r="I156" s="40">
        <v>45967.0</v>
      </c>
      <c r="J156" s="40">
        <v>45968.0</v>
      </c>
      <c r="K156" s="40">
        <v>45969.0</v>
      </c>
      <c r="L156" s="48"/>
      <c r="M156" s="41">
        <v>45974.0</v>
      </c>
      <c r="N156" s="41">
        <v>45978.0</v>
      </c>
      <c r="O156" s="39">
        <v>6.217732715E9</v>
      </c>
      <c r="P156" s="39" t="s">
        <v>55</v>
      </c>
      <c r="Q156" s="39" t="s">
        <v>1719</v>
      </c>
      <c r="R156" s="39">
        <v>0.0</v>
      </c>
      <c r="S156" s="39">
        <v>6000.0</v>
      </c>
      <c r="T156" s="39">
        <v>6000.0</v>
      </c>
      <c r="U156" s="39">
        <v>0.0</v>
      </c>
      <c r="V156" s="39">
        <v>0.0</v>
      </c>
      <c r="W156" s="39">
        <v>0.0</v>
      </c>
      <c r="X156" s="39">
        <v>0.0</v>
      </c>
      <c r="Y156" s="39">
        <v>0.0</v>
      </c>
      <c r="Z156" s="39">
        <v>0.0</v>
      </c>
      <c r="AA156" s="39">
        <v>0.0</v>
      </c>
      <c r="AB156" s="39">
        <v>6000.0</v>
      </c>
      <c r="AC156" s="39">
        <v>0.0</v>
      </c>
      <c r="AD156" s="39">
        <v>0.0</v>
      </c>
      <c r="AE156" s="39">
        <v>0.0</v>
      </c>
      <c r="AF156" s="39">
        <v>0.0</v>
      </c>
      <c r="AG156" s="39">
        <v>0.0</v>
      </c>
      <c r="AH156" s="39">
        <v>0.0</v>
      </c>
      <c r="AI156" s="39">
        <v>0.0</v>
      </c>
      <c r="AJ156" s="39">
        <v>0.0</v>
      </c>
      <c r="AK156" s="39">
        <v>0.0</v>
      </c>
      <c r="AL156" s="39">
        <v>4.60772357695E11</v>
      </c>
      <c r="AM156" s="39" t="s">
        <v>1209</v>
      </c>
      <c r="AN156" s="42">
        <v>0.0</v>
      </c>
      <c r="AO156" s="43">
        <v>0.0</v>
      </c>
      <c r="AP156" s="39">
        <v>0.0</v>
      </c>
      <c r="AQ156" s="39">
        <v>0.0</v>
      </c>
      <c r="AR156" s="39">
        <v>0.0</v>
      </c>
      <c r="AS156" s="39">
        <v>0.0</v>
      </c>
      <c r="AT156" s="39">
        <v>0.0</v>
      </c>
      <c r="AU156" s="39">
        <v>0.0</v>
      </c>
      <c r="AV156" s="39">
        <v>0.0</v>
      </c>
      <c r="AW156" s="39">
        <v>0.0</v>
      </c>
      <c r="AX156" s="39">
        <v>0.0</v>
      </c>
      <c r="AY156" s="39">
        <v>0.0</v>
      </c>
      <c r="AZ156" s="39">
        <v>0.0</v>
      </c>
      <c r="BA156" s="39">
        <v>0.0</v>
      </c>
      <c r="BB156" s="39">
        <v>0.0</v>
      </c>
      <c r="BC156" s="39">
        <v>0.0</v>
      </c>
      <c r="BD156" s="39">
        <v>0.0</v>
      </c>
      <c r="BE156" s="39">
        <v>0.0</v>
      </c>
      <c r="BF156" s="39">
        <v>0.0</v>
      </c>
      <c r="BG156" s="39">
        <v>0.0</v>
      </c>
      <c r="BH156" s="39">
        <v>0.0</v>
      </c>
      <c r="BI156" s="47"/>
    </row>
    <row r="157">
      <c r="A157" s="38">
        <f t="shared" si="1"/>
        <v>45989</v>
      </c>
      <c r="B157" s="39">
        <v>1.0</v>
      </c>
      <c r="C157" s="39" t="s">
        <v>1720</v>
      </c>
      <c r="D157" s="39">
        <v>1.0</v>
      </c>
      <c r="E157" s="39">
        <v>2.655806042E9</v>
      </c>
      <c r="F157" s="39" t="s">
        <v>1721</v>
      </c>
      <c r="G157" s="39" t="s">
        <v>1722</v>
      </c>
      <c r="H157" s="39" t="s">
        <v>1723</v>
      </c>
      <c r="I157" s="40">
        <v>45989.0</v>
      </c>
      <c r="J157" s="40">
        <v>45992.0</v>
      </c>
      <c r="K157" s="46"/>
      <c r="L157" s="48"/>
      <c r="M157" s="48"/>
      <c r="N157" s="48"/>
      <c r="O157" s="39">
        <v>7.996735307E9</v>
      </c>
      <c r="P157" s="39" t="s">
        <v>1416</v>
      </c>
      <c r="Q157" s="39" t="s">
        <v>1724</v>
      </c>
      <c r="R157" s="39">
        <v>1.0</v>
      </c>
      <c r="S157" s="39">
        <v>13348.0</v>
      </c>
      <c r="T157" s="39">
        <v>15000.0</v>
      </c>
      <c r="U157" s="39">
        <v>0.0</v>
      </c>
      <c r="V157" s="39">
        <v>1652.0</v>
      </c>
      <c r="W157" s="39">
        <v>0.0</v>
      </c>
      <c r="X157" s="39">
        <v>15000.0</v>
      </c>
      <c r="Y157" s="39">
        <v>0.0</v>
      </c>
      <c r="Z157" s="39">
        <v>0.0</v>
      </c>
      <c r="AA157" s="39">
        <v>0.0</v>
      </c>
      <c r="AB157" s="39">
        <v>0.0</v>
      </c>
      <c r="AC157" s="39">
        <v>0.0</v>
      </c>
      <c r="AD157" s="39">
        <v>0.0</v>
      </c>
      <c r="AE157" s="39">
        <v>0.0</v>
      </c>
      <c r="AF157" s="39">
        <v>0.0</v>
      </c>
      <c r="AG157" s="39">
        <v>0.0</v>
      </c>
      <c r="AH157" s="39">
        <v>0.0</v>
      </c>
      <c r="AI157" s="39">
        <v>0.0</v>
      </c>
      <c r="AJ157" s="39">
        <v>0.0</v>
      </c>
      <c r="AK157" s="48"/>
      <c r="AL157" s="39">
        <v>4.60973304374E11</v>
      </c>
      <c r="AM157" s="39" t="s">
        <v>1209</v>
      </c>
      <c r="AN157" s="42">
        <v>0.09</v>
      </c>
      <c r="AO157" s="43">
        <v>942.0</v>
      </c>
      <c r="AP157" s="39">
        <v>0.0</v>
      </c>
      <c r="AQ157" s="39">
        <v>0.0</v>
      </c>
      <c r="AR157" s="39">
        <v>0.0</v>
      </c>
      <c r="AS157" s="39">
        <v>510.0</v>
      </c>
      <c r="AT157" s="39">
        <v>0.0</v>
      </c>
      <c r="AU157" s="39">
        <v>510.0</v>
      </c>
      <c r="AV157" s="39">
        <v>0.0</v>
      </c>
      <c r="AW157" s="39">
        <v>0.0</v>
      </c>
      <c r="AX157" s="39">
        <v>0.0</v>
      </c>
      <c r="AY157" s="39">
        <v>0.0</v>
      </c>
      <c r="AZ157" s="39">
        <v>0.0</v>
      </c>
      <c r="BA157" s="39">
        <v>0.0</v>
      </c>
      <c r="BB157" s="39">
        <v>0.0</v>
      </c>
      <c r="BC157" s="39">
        <v>200.0</v>
      </c>
      <c r="BD157" s="39">
        <v>0.0</v>
      </c>
      <c r="BE157" s="39">
        <v>0.0</v>
      </c>
      <c r="BF157" s="39">
        <v>0.0</v>
      </c>
      <c r="BG157" s="39">
        <v>0.0</v>
      </c>
      <c r="BH157" s="48"/>
      <c r="BI157" s="47"/>
    </row>
    <row r="158">
      <c r="A158" s="38">
        <f t="shared" si="1"/>
        <v>45989</v>
      </c>
      <c r="B158" s="39">
        <v>2.0</v>
      </c>
      <c r="C158" s="39" t="s">
        <v>1725</v>
      </c>
      <c r="D158" s="39">
        <v>1.0</v>
      </c>
      <c r="E158" s="39">
        <v>2.655806835E9</v>
      </c>
      <c r="F158" s="39" t="s">
        <v>1721</v>
      </c>
      <c r="G158" s="39" t="s">
        <v>1726</v>
      </c>
      <c r="H158" s="39" t="s">
        <v>1727</v>
      </c>
      <c r="I158" s="40">
        <v>45989.0</v>
      </c>
      <c r="J158" s="40">
        <v>45992.0</v>
      </c>
      <c r="K158" s="46"/>
      <c r="L158" s="48"/>
      <c r="M158" s="48"/>
      <c r="N158" s="48"/>
      <c r="O158" s="39">
        <v>6.342749718E9</v>
      </c>
      <c r="P158" s="39" t="s">
        <v>1213</v>
      </c>
      <c r="Q158" s="39" t="s">
        <v>1283</v>
      </c>
      <c r="R158" s="39">
        <v>1.0</v>
      </c>
      <c r="S158" s="39">
        <v>23664.0</v>
      </c>
      <c r="T158" s="39">
        <v>59000.0</v>
      </c>
      <c r="U158" s="39">
        <v>0.0</v>
      </c>
      <c r="V158" s="39">
        <v>35336.0</v>
      </c>
      <c r="W158" s="39">
        <v>0.0</v>
      </c>
      <c r="X158" s="39">
        <v>59000.0</v>
      </c>
      <c r="Y158" s="39">
        <v>0.0</v>
      </c>
      <c r="Z158" s="39">
        <v>0.0</v>
      </c>
      <c r="AA158" s="39">
        <v>0.0</v>
      </c>
      <c r="AB158" s="39">
        <v>0.0</v>
      </c>
      <c r="AC158" s="39">
        <v>0.0</v>
      </c>
      <c r="AD158" s="39">
        <v>0.0</v>
      </c>
      <c r="AE158" s="39">
        <v>0.0</v>
      </c>
      <c r="AF158" s="39">
        <v>0.0</v>
      </c>
      <c r="AG158" s="39">
        <v>0.0</v>
      </c>
      <c r="AH158" s="39">
        <v>0.0</v>
      </c>
      <c r="AI158" s="39">
        <v>0.0</v>
      </c>
      <c r="AJ158" s="39">
        <v>0.0</v>
      </c>
      <c r="AK158" s="48"/>
      <c r="AL158" s="39">
        <v>4.60973304385E11</v>
      </c>
      <c r="AM158" s="39" t="s">
        <v>1209</v>
      </c>
      <c r="AN158" s="42">
        <v>0.09</v>
      </c>
      <c r="AO158" s="43">
        <v>3710.0</v>
      </c>
      <c r="AP158" s="39">
        <v>0.0</v>
      </c>
      <c r="AQ158" s="39">
        <v>0.0</v>
      </c>
      <c r="AR158" s="39">
        <v>0.0</v>
      </c>
      <c r="AS158" s="39">
        <v>31100.0</v>
      </c>
      <c r="AT158" s="39">
        <v>29100.0</v>
      </c>
      <c r="AU158" s="39">
        <v>2000.0</v>
      </c>
      <c r="AV158" s="39">
        <v>0.0</v>
      </c>
      <c r="AW158" s="39">
        <v>0.0</v>
      </c>
      <c r="AX158" s="39">
        <v>0.0</v>
      </c>
      <c r="AY158" s="39">
        <v>0.0</v>
      </c>
      <c r="AZ158" s="39">
        <v>0.0</v>
      </c>
      <c r="BA158" s="39">
        <v>0.0</v>
      </c>
      <c r="BB158" s="39">
        <v>0.0</v>
      </c>
      <c r="BC158" s="39">
        <v>526.0</v>
      </c>
      <c r="BD158" s="39">
        <v>0.0</v>
      </c>
      <c r="BE158" s="39">
        <v>0.0</v>
      </c>
      <c r="BF158" s="39">
        <v>0.0</v>
      </c>
      <c r="BG158" s="39">
        <v>0.0</v>
      </c>
      <c r="BH158" s="48"/>
      <c r="BI158" s="47"/>
    </row>
    <row r="159">
      <c r="A159" s="38">
        <f t="shared" si="1"/>
        <v>45990</v>
      </c>
      <c r="B159" s="39">
        <v>3.0</v>
      </c>
      <c r="C159" s="39" t="s">
        <v>1728</v>
      </c>
      <c r="D159" s="39">
        <v>1.0</v>
      </c>
      <c r="E159" s="39">
        <v>2.655897639E9</v>
      </c>
      <c r="F159" s="39" t="s">
        <v>1721</v>
      </c>
      <c r="G159" s="39" t="s">
        <v>1729</v>
      </c>
      <c r="H159" s="39" t="s">
        <v>1730</v>
      </c>
      <c r="I159" s="40">
        <v>45990.0</v>
      </c>
      <c r="J159" s="40">
        <v>45992.0</v>
      </c>
      <c r="K159" s="46"/>
      <c r="L159" s="48"/>
      <c r="M159" s="48"/>
      <c r="N159" s="48"/>
      <c r="O159" s="39">
        <v>8.71379692E9</v>
      </c>
      <c r="P159" s="39" t="s">
        <v>1478</v>
      </c>
      <c r="Q159" s="39" t="s">
        <v>1579</v>
      </c>
      <c r="R159" s="39">
        <v>1.0</v>
      </c>
      <c r="S159" s="39">
        <v>105003.0</v>
      </c>
      <c r="T159" s="39">
        <v>119000.0</v>
      </c>
      <c r="U159" s="39">
        <v>0.0</v>
      </c>
      <c r="V159" s="39">
        <v>13997.0</v>
      </c>
      <c r="W159" s="39">
        <v>0.0</v>
      </c>
      <c r="X159" s="39">
        <v>109000.0</v>
      </c>
      <c r="Y159" s="39">
        <v>10000.0</v>
      </c>
      <c r="Z159" s="39">
        <v>0.0</v>
      </c>
      <c r="AA159" s="39">
        <v>0.0</v>
      </c>
      <c r="AB159" s="39">
        <v>0.0</v>
      </c>
      <c r="AC159" s="39">
        <v>0.0</v>
      </c>
      <c r="AD159" s="39">
        <v>0.0</v>
      </c>
      <c r="AE159" s="39">
        <v>0.0</v>
      </c>
      <c r="AF159" s="39">
        <v>0.0</v>
      </c>
      <c r="AG159" s="39">
        <v>0.0</v>
      </c>
      <c r="AH159" s="39">
        <v>0.0</v>
      </c>
      <c r="AI159" s="39">
        <v>0.0</v>
      </c>
      <c r="AJ159" s="39">
        <v>0.0</v>
      </c>
      <c r="AK159" s="48"/>
      <c r="AL159" s="39">
        <v>4.60973304396E11</v>
      </c>
      <c r="AM159" s="39" t="s">
        <v>1209</v>
      </c>
      <c r="AN159" s="42">
        <v>0.09</v>
      </c>
      <c r="AO159" s="43">
        <v>10710.0</v>
      </c>
      <c r="AP159" s="39">
        <v>0.0</v>
      </c>
      <c r="AQ159" s="39">
        <v>0.0</v>
      </c>
      <c r="AR159" s="39">
        <v>0.0</v>
      </c>
      <c r="AS159" s="39">
        <v>2000.0</v>
      </c>
      <c r="AT159" s="39">
        <v>2000.0</v>
      </c>
      <c r="AU159" s="39">
        <v>0.0</v>
      </c>
      <c r="AV159" s="39">
        <v>0.0</v>
      </c>
      <c r="AW159" s="39">
        <v>0.0</v>
      </c>
      <c r="AX159" s="39">
        <v>0.0</v>
      </c>
      <c r="AY159" s="39">
        <v>0.0</v>
      </c>
      <c r="AZ159" s="39">
        <v>0.0</v>
      </c>
      <c r="BA159" s="39">
        <v>0.0</v>
      </c>
      <c r="BB159" s="39">
        <v>0.0</v>
      </c>
      <c r="BC159" s="39">
        <v>1287.0</v>
      </c>
      <c r="BD159" s="39">
        <v>0.0</v>
      </c>
      <c r="BE159" s="39">
        <v>0.0</v>
      </c>
      <c r="BF159" s="39">
        <v>0.0</v>
      </c>
      <c r="BG159" s="39">
        <v>0.0</v>
      </c>
      <c r="BH159" s="48"/>
      <c r="BI159" s="47"/>
    </row>
    <row r="160">
      <c r="A160" s="38">
        <f t="shared" si="1"/>
        <v>45990</v>
      </c>
      <c r="B160" s="39">
        <v>4.0</v>
      </c>
      <c r="C160" s="39" t="s">
        <v>1731</v>
      </c>
      <c r="D160" s="39">
        <v>1.0</v>
      </c>
      <c r="E160" s="39">
        <v>2.655921208E9</v>
      </c>
      <c r="F160" s="39" t="s">
        <v>1721</v>
      </c>
      <c r="G160" s="39" t="s">
        <v>1732</v>
      </c>
      <c r="H160" s="39" t="s">
        <v>1733</v>
      </c>
      <c r="I160" s="40">
        <v>45990.0</v>
      </c>
      <c r="J160" s="40">
        <v>45992.0</v>
      </c>
      <c r="K160" s="46"/>
      <c r="L160" s="48"/>
      <c r="M160" s="48"/>
      <c r="N160" s="48"/>
      <c r="O160" s="39">
        <v>4.232257167E9</v>
      </c>
      <c r="P160" s="39" t="s">
        <v>1620</v>
      </c>
      <c r="Q160" s="39" t="s">
        <v>1208</v>
      </c>
      <c r="R160" s="39">
        <v>1.0</v>
      </c>
      <c r="S160" s="39">
        <v>14275.0</v>
      </c>
      <c r="T160" s="39">
        <v>39900.0</v>
      </c>
      <c r="U160" s="39">
        <v>0.0</v>
      </c>
      <c r="V160" s="39">
        <v>25625.0</v>
      </c>
      <c r="W160" s="39">
        <v>0.0</v>
      </c>
      <c r="X160" s="39">
        <v>39900.0</v>
      </c>
      <c r="Y160" s="39">
        <v>0.0</v>
      </c>
      <c r="Z160" s="39">
        <v>0.0</v>
      </c>
      <c r="AA160" s="39">
        <v>0.0</v>
      </c>
      <c r="AB160" s="39">
        <v>0.0</v>
      </c>
      <c r="AC160" s="39">
        <v>0.0</v>
      </c>
      <c r="AD160" s="39">
        <v>0.0</v>
      </c>
      <c r="AE160" s="39">
        <v>0.0</v>
      </c>
      <c r="AF160" s="39">
        <v>0.0</v>
      </c>
      <c r="AG160" s="39">
        <v>0.0</v>
      </c>
      <c r="AH160" s="39">
        <v>0.0</v>
      </c>
      <c r="AI160" s="39">
        <v>0.0</v>
      </c>
      <c r="AJ160" s="39">
        <v>0.0</v>
      </c>
      <c r="AK160" s="48"/>
      <c r="AL160" s="39">
        <v>4.609733044E11</v>
      </c>
      <c r="AM160" s="39" t="s">
        <v>1209</v>
      </c>
      <c r="AN160" s="42">
        <v>0.13</v>
      </c>
      <c r="AO160" s="43">
        <v>5187.0</v>
      </c>
      <c r="AP160" s="39">
        <v>0.0</v>
      </c>
      <c r="AQ160" s="39">
        <v>0.0</v>
      </c>
      <c r="AR160" s="39">
        <v>0.0</v>
      </c>
      <c r="AS160" s="39">
        <v>20000.0</v>
      </c>
      <c r="AT160" s="39">
        <v>20000.0</v>
      </c>
      <c r="AU160" s="39">
        <v>0.0</v>
      </c>
      <c r="AV160" s="39">
        <v>0.0</v>
      </c>
      <c r="AW160" s="39">
        <v>0.0</v>
      </c>
      <c r="AX160" s="39">
        <v>0.0</v>
      </c>
      <c r="AY160" s="39">
        <v>0.0</v>
      </c>
      <c r="AZ160" s="39">
        <v>0.0</v>
      </c>
      <c r="BA160" s="39">
        <v>0.0</v>
      </c>
      <c r="BB160" s="39">
        <v>0.0</v>
      </c>
      <c r="BC160" s="39">
        <v>438.0</v>
      </c>
      <c r="BD160" s="39">
        <v>0.0</v>
      </c>
      <c r="BE160" s="39">
        <v>0.0</v>
      </c>
      <c r="BF160" s="39">
        <v>0.0</v>
      </c>
      <c r="BG160" s="39">
        <v>0.0</v>
      </c>
      <c r="BH160" s="48"/>
      <c r="BI160" s="47"/>
    </row>
    <row r="161">
      <c r="A161" s="38">
        <f t="shared" si="1"/>
        <v>45990</v>
      </c>
      <c r="B161" s="39">
        <v>5.0</v>
      </c>
      <c r="C161" s="39" t="s">
        <v>1734</v>
      </c>
      <c r="D161" s="39">
        <v>1.0</v>
      </c>
      <c r="E161" s="39">
        <v>2.655946262E9</v>
      </c>
      <c r="F161" s="39" t="s">
        <v>1721</v>
      </c>
      <c r="G161" s="39" t="s">
        <v>1735</v>
      </c>
      <c r="H161" s="39" t="s">
        <v>1736</v>
      </c>
      <c r="I161" s="40">
        <v>45990.0</v>
      </c>
      <c r="J161" s="40">
        <v>45992.0</v>
      </c>
      <c r="K161" s="46"/>
      <c r="L161" s="48"/>
      <c r="M161" s="48"/>
      <c r="N161" s="48"/>
      <c r="O161" s="39">
        <v>5.924859476E9</v>
      </c>
      <c r="P161" s="39" t="s">
        <v>1365</v>
      </c>
      <c r="Q161" s="39" t="s">
        <v>1366</v>
      </c>
      <c r="R161" s="39">
        <v>1.0</v>
      </c>
      <c r="S161" s="39">
        <v>28692.0</v>
      </c>
      <c r="T161" s="39">
        <v>32000.0</v>
      </c>
      <c r="U161" s="39">
        <v>0.0</v>
      </c>
      <c r="V161" s="39">
        <v>3308.0</v>
      </c>
      <c r="W161" s="39">
        <v>0.0</v>
      </c>
      <c r="X161" s="39">
        <v>32000.0</v>
      </c>
      <c r="Y161" s="39">
        <v>0.0</v>
      </c>
      <c r="Z161" s="39">
        <v>0.0</v>
      </c>
      <c r="AA161" s="39">
        <v>0.0</v>
      </c>
      <c r="AB161" s="39">
        <v>0.0</v>
      </c>
      <c r="AC161" s="39">
        <v>0.0</v>
      </c>
      <c r="AD161" s="39">
        <v>0.0</v>
      </c>
      <c r="AE161" s="39">
        <v>0.0</v>
      </c>
      <c r="AF161" s="39">
        <v>0.0</v>
      </c>
      <c r="AG161" s="39">
        <v>0.0</v>
      </c>
      <c r="AH161" s="39">
        <v>0.0</v>
      </c>
      <c r="AI161" s="39">
        <v>0.0</v>
      </c>
      <c r="AJ161" s="39">
        <v>0.0</v>
      </c>
      <c r="AK161" s="48"/>
      <c r="AL161" s="39">
        <v>4.60973304411E11</v>
      </c>
      <c r="AM161" s="39" t="s">
        <v>1209</v>
      </c>
      <c r="AN161" s="42">
        <v>0.09</v>
      </c>
      <c r="AO161" s="43">
        <v>2008.0</v>
      </c>
      <c r="AP161" s="39">
        <v>0.0</v>
      </c>
      <c r="AQ161" s="39">
        <v>0.0</v>
      </c>
      <c r="AR161" s="39">
        <v>0.0</v>
      </c>
      <c r="AS161" s="39">
        <v>1190.0</v>
      </c>
      <c r="AT161" s="39">
        <v>100.0</v>
      </c>
      <c r="AU161" s="39">
        <v>1090.0</v>
      </c>
      <c r="AV161" s="39">
        <v>0.0</v>
      </c>
      <c r="AW161" s="39">
        <v>0.0</v>
      </c>
      <c r="AX161" s="39">
        <v>0.0</v>
      </c>
      <c r="AY161" s="39">
        <v>0.0</v>
      </c>
      <c r="AZ161" s="39">
        <v>0.0</v>
      </c>
      <c r="BA161" s="39">
        <v>0.0</v>
      </c>
      <c r="BB161" s="39">
        <v>0.0</v>
      </c>
      <c r="BC161" s="39">
        <v>110.0</v>
      </c>
      <c r="BD161" s="39">
        <v>0.0</v>
      </c>
      <c r="BE161" s="39">
        <v>0.0</v>
      </c>
      <c r="BF161" s="39">
        <v>0.0</v>
      </c>
      <c r="BG161" s="39">
        <v>0.0</v>
      </c>
      <c r="BH161" s="48"/>
      <c r="BI161" s="47"/>
    </row>
    <row r="162">
      <c r="A162" s="38">
        <f t="shared" si="1"/>
        <v>45990</v>
      </c>
      <c r="B162" s="39">
        <v>6.0</v>
      </c>
      <c r="C162" s="39" t="s">
        <v>1737</v>
      </c>
      <c r="D162" s="39">
        <v>1.0</v>
      </c>
      <c r="E162" s="39">
        <v>2.655953937E9</v>
      </c>
      <c r="F162" s="39" t="s">
        <v>1721</v>
      </c>
      <c r="G162" s="39" t="s">
        <v>1738</v>
      </c>
      <c r="H162" s="39" t="s">
        <v>1739</v>
      </c>
      <c r="I162" s="40">
        <v>45990.0</v>
      </c>
      <c r="J162" s="40">
        <v>45992.0</v>
      </c>
      <c r="K162" s="46"/>
      <c r="L162" s="48"/>
      <c r="M162" s="48"/>
      <c r="N162" s="48"/>
      <c r="O162" s="39">
        <v>7.811497488E9</v>
      </c>
      <c r="P162" s="39" t="s">
        <v>1691</v>
      </c>
      <c r="Q162" s="39" t="s">
        <v>1219</v>
      </c>
      <c r="R162" s="39">
        <v>1.0</v>
      </c>
      <c r="S162" s="39">
        <v>99770.0</v>
      </c>
      <c r="T162" s="39">
        <v>189000.0</v>
      </c>
      <c r="U162" s="39">
        <v>0.0</v>
      </c>
      <c r="V162" s="39">
        <v>89230.0</v>
      </c>
      <c r="W162" s="39">
        <v>0.0</v>
      </c>
      <c r="X162" s="39">
        <v>189000.0</v>
      </c>
      <c r="Y162" s="39">
        <v>0.0</v>
      </c>
      <c r="Z162" s="39">
        <v>0.0</v>
      </c>
      <c r="AA162" s="39">
        <v>0.0</v>
      </c>
      <c r="AB162" s="39">
        <v>0.0</v>
      </c>
      <c r="AC162" s="39">
        <v>0.0</v>
      </c>
      <c r="AD162" s="39">
        <v>0.0</v>
      </c>
      <c r="AE162" s="39">
        <v>0.0</v>
      </c>
      <c r="AF162" s="39">
        <v>0.0</v>
      </c>
      <c r="AG162" s="39">
        <v>0.0</v>
      </c>
      <c r="AH162" s="39">
        <v>0.0</v>
      </c>
      <c r="AI162" s="39">
        <v>0.0</v>
      </c>
      <c r="AJ162" s="39">
        <v>0.0</v>
      </c>
      <c r="AK162" s="48"/>
      <c r="AL162" s="39">
        <v>4.60973304422E11</v>
      </c>
      <c r="AM162" s="39" t="s">
        <v>1209</v>
      </c>
      <c r="AN162" s="42">
        <v>0.09</v>
      </c>
      <c r="AO162" s="43">
        <v>17010.0</v>
      </c>
      <c r="AP162" s="39">
        <v>0.0</v>
      </c>
      <c r="AQ162" s="39">
        <v>0.0</v>
      </c>
      <c r="AR162" s="39">
        <v>0.0</v>
      </c>
      <c r="AS162" s="39">
        <v>72000.0</v>
      </c>
      <c r="AT162" s="39">
        <v>72000.0</v>
      </c>
      <c r="AU162" s="39">
        <v>0.0</v>
      </c>
      <c r="AV162" s="39">
        <v>0.0</v>
      </c>
      <c r="AW162" s="39">
        <v>0.0</v>
      </c>
      <c r="AX162" s="39">
        <v>0.0</v>
      </c>
      <c r="AY162" s="39">
        <v>0.0</v>
      </c>
      <c r="AZ162" s="39">
        <v>0.0</v>
      </c>
      <c r="BA162" s="39">
        <v>0.0</v>
      </c>
      <c r="BB162" s="39">
        <v>0.0</v>
      </c>
      <c r="BC162" s="39">
        <v>220.0</v>
      </c>
      <c r="BD162" s="39">
        <v>0.0</v>
      </c>
      <c r="BE162" s="39">
        <v>0.0</v>
      </c>
      <c r="BF162" s="39">
        <v>0.0</v>
      </c>
      <c r="BG162" s="39">
        <v>0.0</v>
      </c>
      <c r="BH162" s="48"/>
      <c r="BI162" s="47"/>
    </row>
    <row r="163">
      <c r="A163" s="38">
        <f t="shared" si="1"/>
        <v>45990</v>
      </c>
      <c r="B163" s="39">
        <v>7.0</v>
      </c>
      <c r="C163" s="39" t="s">
        <v>1740</v>
      </c>
      <c r="D163" s="39">
        <v>1.0</v>
      </c>
      <c r="E163" s="39">
        <v>2.655957883E9</v>
      </c>
      <c r="F163" s="39" t="s">
        <v>1721</v>
      </c>
      <c r="G163" s="39" t="s">
        <v>1741</v>
      </c>
      <c r="H163" s="39" t="s">
        <v>1742</v>
      </c>
      <c r="I163" s="40">
        <v>45990.0</v>
      </c>
      <c r="J163" s="40">
        <v>45992.0</v>
      </c>
      <c r="K163" s="46"/>
      <c r="L163" s="48"/>
      <c r="M163" s="48"/>
      <c r="N163" s="48"/>
      <c r="O163" s="39">
        <v>8.71379692E9</v>
      </c>
      <c r="P163" s="39" t="s">
        <v>1478</v>
      </c>
      <c r="Q163" s="39" t="s">
        <v>1479</v>
      </c>
      <c r="R163" s="39">
        <v>1.0</v>
      </c>
      <c r="S163" s="39">
        <v>99190.0</v>
      </c>
      <c r="T163" s="39">
        <v>109000.0</v>
      </c>
      <c r="U163" s="39">
        <v>0.0</v>
      </c>
      <c r="V163" s="39">
        <v>9810.0</v>
      </c>
      <c r="W163" s="39">
        <v>0.0</v>
      </c>
      <c r="X163" s="39">
        <v>109000.0</v>
      </c>
      <c r="Y163" s="39">
        <v>0.0</v>
      </c>
      <c r="Z163" s="39">
        <v>0.0</v>
      </c>
      <c r="AA163" s="39">
        <v>0.0</v>
      </c>
      <c r="AB163" s="39">
        <v>0.0</v>
      </c>
      <c r="AC163" s="39">
        <v>0.0</v>
      </c>
      <c r="AD163" s="39">
        <v>0.0</v>
      </c>
      <c r="AE163" s="39">
        <v>0.0</v>
      </c>
      <c r="AF163" s="39">
        <v>0.0</v>
      </c>
      <c r="AG163" s="39">
        <v>0.0</v>
      </c>
      <c r="AH163" s="39">
        <v>0.0</v>
      </c>
      <c r="AI163" s="39">
        <v>0.0</v>
      </c>
      <c r="AJ163" s="39">
        <v>0.0</v>
      </c>
      <c r="AK163" s="48"/>
      <c r="AL163" s="39">
        <v>4.60974565914E11</v>
      </c>
      <c r="AM163" s="39" t="s">
        <v>1209</v>
      </c>
      <c r="AN163" s="42">
        <v>0.09</v>
      </c>
      <c r="AO163" s="43">
        <v>9810.0</v>
      </c>
      <c r="AP163" s="39">
        <v>0.0</v>
      </c>
      <c r="AQ163" s="39">
        <v>0.0</v>
      </c>
      <c r="AR163" s="39">
        <v>0.0</v>
      </c>
      <c r="AS163" s="39">
        <v>0.0</v>
      </c>
      <c r="AT163" s="39">
        <v>0.0</v>
      </c>
      <c r="AU163" s="39">
        <v>0.0</v>
      </c>
      <c r="AV163" s="39">
        <v>0.0</v>
      </c>
      <c r="AW163" s="39">
        <v>0.0</v>
      </c>
      <c r="AX163" s="39">
        <v>0.0</v>
      </c>
      <c r="AY163" s="39">
        <v>0.0</v>
      </c>
      <c r="AZ163" s="39">
        <v>0.0</v>
      </c>
      <c r="BA163" s="39">
        <v>0.0</v>
      </c>
      <c r="BB163" s="39">
        <v>0.0</v>
      </c>
      <c r="BC163" s="39">
        <v>0.0</v>
      </c>
      <c r="BD163" s="39">
        <v>0.0</v>
      </c>
      <c r="BE163" s="39">
        <v>0.0</v>
      </c>
      <c r="BF163" s="39">
        <v>0.0</v>
      </c>
      <c r="BG163" s="39">
        <v>0.0</v>
      </c>
      <c r="BH163" s="48"/>
      <c r="BI163" s="47"/>
    </row>
    <row r="164">
      <c r="A164" s="38">
        <f t="shared" si="1"/>
        <v>45990</v>
      </c>
      <c r="B164" s="39">
        <v>8.0</v>
      </c>
      <c r="C164" s="39" t="s">
        <v>1743</v>
      </c>
      <c r="D164" s="39">
        <v>1.0</v>
      </c>
      <c r="E164" s="39">
        <v>2.655958428E9</v>
      </c>
      <c r="F164" s="39" t="s">
        <v>1721</v>
      </c>
      <c r="G164" s="39" t="s">
        <v>1744</v>
      </c>
      <c r="H164" s="39" t="s">
        <v>1745</v>
      </c>
      <c r="I164" s="40">
        <v>45990.0</v>
      </c>
      <c r="J164" s="40">
        <v>45992.0</v>
      </c>
      <c r="K164" s="46"/>
      <c r="L164" s="48"/>
      <c r="M164" s="48"/>
      <c r="N164" s="48"/>
      <c r="O164" s="39">
        <v>8.71379692E9</v>
      </c>
      <c r="P164" s="39" t="s">
        <v>1478</v>
      </c>
      <c r="Q164" s="39" t="s">
        <v>1479</v>
      </c>
      <c r="R164" s="39">
        <v>1.0</v>
      </c>
      <c r="S164" s="39">
        <v>99190.0</v>
      </c>
      <c r="T164" s="39">
        <v>109000.0</v>
      </c>
      <c r="U164" s="39">
        <v>0.0</v>
      </c>
      <c r="V164" s="39">
        <v>9810.0</v>
      </c>
      <c r="W164" s="39">
        <v>0.0</v>
      </c>
      <c r="X164" s="39">
        <v>109000.0</v>
      </c>
      <c r="Y164" s="39">
        <v>0.0</v>
      </c>
      <c r="Z164" s="39">
        <v>0.0</v>
      </c>
      <c r="AA164" s="39">
        <v>0.0</v>
      </c>
      <c r="AB164" s="39">
        <v>0.0</v>
      </c>
      <c r="AC164" s="39">
        <v>0.0</v>
      </c>
      <c r="AD164" s="39">
        <v>0.0</v>
      </c>
      <c r="AE164" s="39">
        <v>0.0</v>
      </c>
      <c r="AF164" s="39">
        <v>0.0</v>
      </c>
      <c r="AG164" s="39">
        <v>0.0</v>
      </c>
      <c r="AH164" s="39">
        <v>0.0</v>
      </c>
      <c r="AI164" s="39">
        <v>0.0</v>
      </c>
      <c r="AJ164" s="39">
        <v>0.0</v>
      </c>
      <c r="AK164" s="48"/>
      <c r="AL164" s="39">
        <v>4.60974565925E11</v>
      </c>
      <c r="AM164" s="39" t="s">
        <v>1209</v>
      </c>
      <c r="AN164" s="42">
        <v>0.09</v>
      </c>
      <c r="AO164" s="43">
        <v>9810.0</v>
      </c>
      <c r="AP164" s="39">
        <v>0.0</v>
      </c>
      <c r="AQ164" s="39">
        <v>0.0</v>
      </c>
      <c r="AR164" s="39">
        <v>0.0</v>
      </c>
      <c r="AS164" s="39">
        <v>0.0</v>
      </c>
      <c r="AT164" s="39">
        <v>0.0</v>
      </c>
      <c r="AU164" s="39">
        <v>0.0</v>
      </c>
      <c r="AV164" s="39">
        <v>0.0</v>
      </c>
      <c r="AW164" s="39">
        <v>0.0</v>
      </c>
      <c r="AX164" s="39">
        <v>0.0</v>
      </c>
      <c r="AY164" s="39">
        <v>0.0</v>
      </c>
      <c r="AZ164" s="39">
        <v>0.0</v>
      </c>
      <c r="BA164" s="39">
        <v>0.0</v>
      </c>
      <c r="BB164" s="39">
        <v>0.0</v>
      </c>
      <c r="BC164" s="39">
        <v>0.0</v>
      </c>
      <c r="BD164" s="39">
        <v>0.0</v>
      </c>
      <c r="BE164" s="39">
        <v>0.0</v>
      </c>
      <c r="BF164" s="39">
        <v>0.0</v>
      </c>
      <c r="BG164" s="39">
        <v>0.0</v>
      </c>
      <c r="BH164" s="48"/>
      <c r="BI164" s="47"/>
    </row>
    <row r="165">
      <c r="A165" s="38">
        <f t="shared" si="1"/>
        <v>45990</v>
      </c>
      <c r="B165" s="39">
        <v>9.0</v>
      </c>
      <c r="C165" s="39" t="s">
        <v>1746</v>
      </c>
      <c r="D165" s="39">
        <v>1.0</v>
      </c>
      <c r="E165" s="39">
        <v>2.655959476E9</v>
      </c>
      <c r="F165" s="39" t="s">
        <v>1721</v>
      </c>
      <c r="G165" s="39" t="s">
        <v>1747</v>
      </c>
      <c r="H165" s="39" t="s">
        <v>1748</v>
      </c>
      <c r="I165" s="40">
        <v>45990.0</v>
      </c>
      <c r="J165" s="40">
        <v>45992.0</v>
      </c>
      <c r="K165" s="46"/>
      <c r="L165" s="48"/>
      <c r="M165" s="48"/>
      <c r="N165" s="48"/>
      <c r="O165" s="39">
        <v>8.71379692E9</v>
      </c>
      <c r="P165" s="39" t="s">
        <v>1478</v>
      </c>
      <c r="Q165" s="39" t="s">
        <v>1479</v>
      </c>
      <c r="R165" s="39">
        <v>1.0</v>
      </c>
      <c r="S165" s="39">
        <v>97991.0</v>
      </c>
      <c r="T165" s="39">
        <v>109000.0</v>
      </c>
      <c r="U165" s="39">
        <v>0.0</v>
      </c>
      <c r="V165" s="39">
        <v>11009.0</v>
      </c>
      <c r="W165" s="39">
        <v>0.0</v>
      </c>
      <c r="X165" s="39">
        <v>109000.0</v>
      </c>
      <c r="Y165" s="39">
        <v>0.0</v>
      </c>
      <c r="Z165" s="39">
        <v>0.0</v>
      </c>
      <c r="AA165" s="39">
        <v>0.0</v>
      </c>
      <c r="AB165" s="39">
        <v>0.0</v>
      </c>
      <c r="AC165" s="39">
        <v>0.0</v>
      </c>
      <c r="AD165" s="39">
        <v>0.0</v>
      </c>
      <c r="AE165" s="39">
        <v>0.0</v>
      </c>
      <c r="AF165" s="39">
        <v>0.0</v>
      </c>
      <c r="AG165" s="39">
        <v>0.0</v>
      </c>
      <c r="AH165" s="39">
        <v>0.0</v>
      </c>
      <c r="AI165" s="39">
        <v>0.0</v>
      </c>
      <c r="AJ165" s="39">
        <v>0.0</v>
      </c>
      <c r="AK165" s="48"/>
      <c r="AL165" s="39">
        <v>4.60974565936E11</v>
      </c>
      <c r="AM165" s="39" t="s">
        <v>1209</v>
      </c>
      <c r="AN165" s="42">
        <v>0.09</v>
      </c>
      <c r="AO165" s="43">
        <v>9810.0</v>
      </c>
      <c r="AP165" s="39">
        <v>0.0</v>
      </c>
      <c r="AQ165" s="39">
        <v>0.0</v>
      </c>
      <c r="AR165" s="39">
        <v>0.0</v>
      </c>
      <c r="AS165" s="39">
        <v>0.0</v>
      </c>
      <c r="AT165" s="39">
        <v>0.0</v>
      </c>
      <c r="AU165" s="39">
        <v>0.0</v>
      </c>
      <c r="AV165" s="39">
        <v>0.0</v>
      </c>
      <c r="AW165" s="39">
        <v>0.0</v>
      </c>
      <c r="AX165" s="39">
        <v>0.0</v>
      </c>
      <c r="AY165" s="39">
        <v>0.0</v>
      </c>
      <c r="AZ165" s="39">
        <v>0.0</v>
      </c>
      <c r="BA165" s="39">
        <v>0.0</v>
      </c>
      <c r="BB165" s="39">
        <v>0.0</v>
      </c>
      <c r="BC165" s="39">
        <v>1199.0</v>
      </c>
      <c r="BD165" s="39">
        <v>0.0</v>
      </c>
      <c r="BE165" s="39">
        <v>0.0</v>
      </c>
      <c r="BF165" s="39">
        <v>0.0</v>
      </c>
      <c r="BG165" s="39">
        <v>0.0</v>
      </c>
      <c r="BH165" s="48"/>
      <c r="BI165" s="47"/>
    </row>
    <row r="166">
      <c r="A166" s="38">
        <f t="shared" si="1"/>
        <v>45990</v>
      </c>
      <c r="B166" s="39">
        <v>10.0</v>
      </c>
      <c r="C166" s="39" t="s">
        <v>1749</v>
      </c>
      <c r="D166" s="39">
        <v>1.0</v>
      </c>
      <c r="E166" s="39">
        <v>2.655966121E9</v>
      </c>
      <c r="F166" s="39" t="s">
        <v>1721</v>
      </c>
      <c r="G166" s="39" t="s">
        <v>1750</v>
      </c>
      <c r="H166" s="39" t="s">
        <v>1751</v>
      </c>
      <c r="I166" s="40">
        <v>45990.0</v>
      </c>
      <c r="J166" s="40">
        <v>45992.0</v>
      </c>
      <c r="K166" s="46"/>
      <c r="L166" s="48"/>
      <c r="M166" s="48"/>
      <c r="N166" s="48"/>
      <c r="O166" s="39">
        <v>8.432350374E9</v>
      </c>
      <c r="P166" s="39" t="s">
        <v>1583</v>
      </c>
      <c r="Q166" s="39" t="s">
        <v>1752</v>
      </c>
      <c r="R166" s="39">
        <v>1.0</v>
      </c>
      <c r="S166" s="39">
        <v>24730.0</v>
      </c>
      <c r="T166" s="39">
        <v>29800.0</v>
      </c>
      <c r="U166" s="39">
        <v>0.0</v>
      </c>
      <c r="V166" s="39">
        <v>5070.0</v>
      </c>
      <c r="W166" s="39">
        <v>0.0</v>
      </c>
      <c r="X166" s="39">
        <v>29800.0</v>
      </c>
      <c r="Y166" s="39">
        <v>0.0</v>
      </c>
      <c r="Z166" s="39">
        <v>0.0</v>
      </c>
      <c r="AA166" s="39">
        <v>0.0</v>
      </c>
      <c r="AB166" s="39">
        <v>0.0</v>
      </c>
      <c r="AC166" s="39">
        <v>0.0</v>
      </c>
      <c r="AD166" s="39">
        <v>0.0</v>
      </c>
      <c r="AE166" s="39">
        <v>0.0</v>
      </c>
      <c r="AF166" s="39">
        <v>0.0</v>
      </c>
      <c r="AG166" s="39">
        <v>0.0</v>
      </c>
      <c r="AH166" s="39">
        <v>0.0</v>
      </c>
      <c r="AI166" s="39">
        <v>0.0</v>
      </c>
      <c r="AJ166" s="39">
        <v>0.0</v>
      </c>
      <c r="AK166" s="48"/>
      <c r="AL166" s="39">
        <v>4.60973304433E11</v>
      </c>
      <c r="AM166" s="39" t="s">
        <v>1209</v>
      </c>
      <c r="AN166" s="42">
        <v>0.09</v>
      </c>
      <c r="AO166" s="43">
        <v>1970.0</v>
      </c>
      <c r="AP166" s="39">
        <v>0.0</v>
      </c>
      <c r="AQ166" s="39">
        <v>0.0</v>
      </c>
      <c r="AR166" s="39">
        <v>0.0</v>
      </c>
      <c r="AS166" s="39">
        <v>2990.0</v>
      </c>
      <c r="AT166" s="39">
        <v>2100.0</v>
      </c>
      <c r="AU166" s="39">
        <v>890.0</v>
      </c>
      <c r="AV166" s="39">
        <v>0.0</v>
      </c>
      <c r="AW166" s="39">
        <v>0.0</v>
      </c>
      <c r="AX166" s="39">
        <v>0.0</v>
      </c>
      <c r="AY166" s="39">
        <v>0.0</v>
      </c>
      <c r="AZ166" s="39">
        <v>0.0</v>
      </c>
      <c r="BA166" s="39">
        <v>0.0</v>
      </c>
      <c r="BB166" s="39">
        <v>0.0</v>
      </c>
      <c r="BC166" s="39">
        <v>110.0</v>
      </c>
      <c r="BD166" s="39">
        <v>0.0</v>
      </c>
      <c r="BE166" s="39">
        <v>0.0</v>
      </c>
      <c r="BF166" s="39">
        <v>0.0</v>
      </c>
      <c r="BG166" s="39">
        <v>0.0</v>
      </c>
      <c r="BH166" s="48"/>
      <c r="BI166" s="47"/>
    </row>
    <row r="167">
      <c r="A167" s="38">
        <f t="shared" si="1"/>
        <v>45990</v>
      </c>
      <c r="B167" s="39">
        <v>11.0</v>
      </c>
      <c r="C167" s="39" t="s">
        <v>1753</v>
      </c>
      <c r="D167" s="39">
        <v>1.0</v>
      </c>
      <c r="E167" s="39">
        <v>2.655981302E9</v>
      </c>
      <c r="F167" s="39" t="s">
        <v>1721</v>
      </c>
      <c r="G167" s="39" t="s">
        <v>1754</v>
      </c>
      <c r="H167" s="39" t="s">
        <v>1755</v>
      </c>
      <c r="I167" s="40">
        <v>45990.0</v>
      </c>
      <c r="J167" s="40">
        <v>45992.0</v>
      </c>
      <c r="K167" s="46"/>
      <c r="L167" s="48"/>
      <c r="M167" s="48"/>
      <c r="N167" s="48"/>
      <c r="O167" s="39">
        <v>8.71379692E9</v>
      </c>
      <c r="P167" s="39" t="s">
        <v>1478</v>
      </c>
      <c r="Q167" s="39" t="s">
        <v>1479</v>
      </c>
      <c r="R167" s="39">
        <v>1.0</v>
      </c>
      <c r="S167" s="39">
        <v>96013.0</v>
      </c>
      <c r="T167" s="39">
        <v>109000.0</v>
      </c>
      <c r="U167" s="39">
        <v>0.0</v>
      </c>
      <c r="V167" s="39">
        <v>12987.0</v>
      </c>
      <c r="W167" s="39">
        <v>0.0</v>
      </c>
      <c r="X167" s="39">
        <v>109000.0</v>
      </c>
      <c r="Y167" s="39">
        <v>0.0</v>
      </c>
      <c r="Z167" s="39">
        <v>0.0</v>
      </c>
      <c r="AA167" s="39">
        <v>0.0</v>
      </c>
      <c r="AB167" s="39">
        <v>0.0</v>
      </c>
      <c r="AC167" s="39">
        <v>0.0</v>
      </c>
      <c r="AD167" s="39">
        <v>0.0</v>
      </c>
      <c r="AE167" s="39">
        <v>0.0</v>
      </c>
      <c r="AF167" s="39">
        <v>0.0</v>
      </c>
      <c r="AG167" s="39">
        <v>0.0</v>
      </c>
      <c r="AH167" s="39">
        <v>0.0</v>
      </c>
      <c r="AI167" s="39">
        <v>0.0</v>
      </c>
      <c r="AJ167" s="39">
        <v>0.0</v>
      </c>
      <c r="AK167" s="48"/>
      <c r="AL167" s="39">
        <v>4.60973304444E11</v>
      </c>
      <c r="AM167" s="39" t="s">
        <v>1209</v>
      </c>
      <c r="AN167" s="42">
        <v>0.09</v>
      </c>
      <c r="AO167" s="43">
        <v>9810.0</v>
      </c>
      <c r="AP167" s="39">
        <v>0.0</v>
      </c>
      <c r="AQ167" s="39">
        <v>0.0</v>
      </c>
      <c r="AR167" s="39">
        <v>0.0</v>
      </c>
      <c r="AS167" s="39">
        <v>2000.0</v>
      </c>
      <c r="AT167" s="39">
        <v>2000.0</v>
      </c>
      <c r="AU167" s="39">
        <v>0.0</v>
      </c>
      <c r="AV167" s="39">
        <v>0.0</v>
      </c>
      <c r="AW167" s="39">
        <v>0.0</v>
      </c>
      <c r="AX167" s="39">
        <v>0.0</v>
      </c>
      <c r="AY167" s="39">
        <v>0.0</v>
      </c>
      <c r="AZ167" s="39">
        <v>0.0</v>
      </c>
      <c r="BA167" s="39">
        <v>0.0</v>
      </c>
      <c r="BB167" s="39">
        <v>0.0</v>
      </c>
      <c r="BC167" s="39">
        <v>1177.0</v>
      </c>
      <c r="BD167" s="39">
        <v>0.0</v>
      </c>
      <c r="BE167" s="39">
        <v>0.0</v>
      </c>
      <c r="BF167" s="39">
        <v>0.0</v>
      </c>
      <c r="BG167" s="39">
        <v>0.0</v>
      </c>
      <c r="BH167" s="48"/>
      <c r="BI167" s="47"/>
    </row>
    <row r="168">
      <c r="A168" s="38">
        <f t="shared" si="1"/>
        <v>45991</v>
      </c>
      <c r="B168" s="39">
        <v>12.0</v>
      </c>
      <c r="C168" s="39" t="s">
        <v>1756</v>
      </c>
      <c r="D168" s="39">
        <v>1.0</v>
      </c>
      <c r="E168" s="39">
        <v>2.656000271E9</v>
      </c>
      <c r="F168" s="39" t="s">
        <v>1721</v>
      </c>
      <c r="G168" s="39" t="s">
        <v>1757</v>
      </c>
      <c r="H168" s="39" t="s">
        <v>1758</v>
      </c>
      <c r="I168" s="40">
        <v>45991.0</v>
      </c>
      <c r="J168" s="40">
        <v>45992.0</v>
      </c>
      <c r="K168" s="46"/>
      <c r="L168" s="48"/>
      <c r="M168" s="48"/>
      <c r="N168" s="48"/>
      <c r="O168" s="39">
        <v>6.363337566E9</v>
      </c>
      <c r="P168" s="39" t="s">
        <v>1301</v>
      </c>
      <c r="Q168" s="39" t="s">
        <v>1219</v>
      </c>
      <c r="R168" s="39">
        <v>1.0</v>
      </c>
      <c r="S168" s="39">
        <v>38362.0</v>
      </c>
      <c r="T168" s="39">
        <v>48000.0</v>
      </c>
      <c r="U168" s="39">
        <v>0.0</v>
      </c>
      <c r="V168" s="39">
        <v>9638.0</v>
      </c>
      <c r="W168" s="39">
        <v>0.0</v>
      </c>
      <c r="X168" s="39">
        <v>48000.0</v>
      </c>
      <c r="Y168" s="39">
        <v>0.0</v>
      </c>
      <c r="Z168" s="39">
        <v>0.0</v>
      </c>
      <c r="AA168" s="39">
        <v>0.0</v>
      </c>
      <c r="AB168" s="39">
        <v>0.0</v>
      </c>
      <c r="AC168" s="39">
        <v>0.0</v>
      </c>
      <c r="AD168" s="39">
        <v>0.0</v>
      </c>
      <c r="AE168" s="39">
        <v>0.0</v>
      </c>
      <c r="AF168" s="39">
        <v>0.0</v>
      </c>
      <c r="AG168" s="39">
        <v>0.0</v>
      </c>
      <c r="AH168" s="39">
        <v>0.0</v>
      </c>
      <c r="AI168" s="39">
        <v>0.0</v>
      </c>
      <c r="AJ168" s="39">
        <v>0.0</v>
      </c>
      <c r="AK168" s="48"/>
      <c r="AL168" s="39">
        <v>4.60973304455E11</v>
      </c>
      <c r="AM168" s="39" t="s">
        <v>1209</v>
      </c>
      <c r="AN168" s="42">
        <v>0.09</v>
      </c>
      <c r="AO168" s="43">
        <v>4320.0</v>
      </c>
      <c r="AP168" s="39">
        <v>0.0</v>
      </c>
      <c r="AQ168" s="39">
        <v>0.0</v>
      </c>
      <c r="AR168" s="39">
        <v>0.0</v>
      </c>
      <c r="AS168" s="39">
        <v>2100.0</v>
      </c>
      <c r="AT168" s="39">
        <v>2100.0</v>
      </c>
      <c r="AU168" s="39">
        <v>0.0</v>
      </c>
      <c r="AV168" s="39">
        <v>0.0</v>
      </c>
      <c r="AW168" s="39">
        <v>0.0</v>
      </c>
      <c r="AX168" s="39">
        <v>0.0</v>
      </c>
      <c r="AY168" s="39">
        <v>0.0</v>
      </c>
      <c r="AZ168" s="39">
        <v>0.0</v>
      </c>
      <c r="BA168" s="39">
        <v>0.0</v>
      </c>
      <c r="BB168" s="39">
        <v>0.0</v>
      </c>
      <c r="BC168" s="39">
        <v>3218.0</v>
      </c>
      <c r="BD168" s="39">
        <v>0.0</v>
      </c>
      <c r="BE168" s="39">
        <v>0.0</v>
      </c>
      <c r="BF168" s="39">
        <v>0.0</v>
      </c>
      <c r="BG168" s="39">
        <v>0.0</v>
      </c>
      <c r="BH168" s="48"/>
      <c r="BI168" s="47"/>
    </row>
    <row r="169">
      <c r="A169" s="38">
        <f t="shared" si="1"/>
        <v>45991</v>
      </c>
      <c r="B169" s="39">
        <v>13.0</v>
      </c>
      <c r="C169" s="39" t="s">
        <v>1759</v>
      </c>
      <c r="D169" s="39">
        <v>2.0</v>
      </c>
      <c r="E169" s="39">
        <v>2.656054171E9</v>
      </c>
      <c r="F169" s="39" t="s">
        <v>1721</v>
      </c>
      <c r="G169" s="39" t="s">
        <v>1760</v>
      </c>
      <c r="H169" s="39" t="s">
        <v>1761</v>
      </c>
      <c r="I169" s="40">
        <v>45991.0</v>
      </c>
      <c r="J169" s="40">
        <v>45992.0</v>
      </c>
      <c r="K169" s="46"/>
      <c r="L169" s="48"/>
      <c r="M169" s="48"/>
      <c r="N169" s="48"/>
      <c r="O169" s="39">
        <v>2.968080777E9</v>
      </c>
      <c r="P169" s="39" t="s">
        <v>1762</v>
      </c>
      <c r="Q169" s="39" t="s">
        <v>1660</v>
      </c>
      <c r="R169" s="39">
        <v>1.0</v>
      </c>
      <c r="S169" s="39">
        <v>8274.0</v>
      </c>
      <c r="T169" s="39">
        <v>9900.0</v>
      </c>
      <c r="U169" s="39">
        <v>0.0</v>
      </c>
      <c r="V169" s="39">
        <v>1626.0</v>
      </c>
      <c r="W169" s="39">
        <v>0.0</v>
      </c>
      <c r="X169" s="39">
        <v>9900.0</v>
      </c>
      <c r="Y169" s="39">
        <v>0.0</v>
      </c>
      <c r="Z169" s="39">
        <v>0.0</v>
      </c>
      <c r="AA169" s="39">
        <v>0.0</v>
      </c>
      <c r="AB169" s="39">
        <v>0.0</v>
      </c>
      <c r="AC169" s="39">
        <v>0.0</v>
      </c>
      <c r="AD169" s="39">
        <v>0.0</v>
      </c>
      <c r="AE169" s="39">
        <v>0.0</v>
      </c>
      <c r="AF169" s="39">
        <v>0.0</v>
      </c>
      <c r="AG169" s="39">
        <v>0.0</v>
      </c>
      <c r="AH169" s="39">
        <v>0.0</v>
      </c>
      <c r="AI169" s="39">
        <v>0.0</v>
      </c>
      <c r="AJ169" s="39">
        <v>0.0</v>
      </c>
      <c r="AK169" s="48"/>
      <c r="AL169" s="39">
        <v>4.60973304466E11</v>
      </c>
      <c r="AM169" s="39" t="s">
        <v>1209</v>
      </c>
      <c r="AN169" s="42">
        <v>0.09</v>
      </c>
      <c r="AO169" s="43">
        <v>891.0</v>
      </c>
      <c r="AP169" s="39">
        <v>0.0</v>
      </c>
      <c r="AQ169" s="39">
        <v>0.0</v>
      </c>
      <c r="AR169" s="39">
        <v>0.0</v>
      </c>
      <c r="AS169" s="39">
        <v>0.0</v>
      </c>
      <c r="AT169" s="39">
        <v>0.0</v>
      </c>
      <c r="AU169" s="39">
        <v>0.0</v>
      </c>
      <c r="AV169" s="39">
        <v>0.0</v>
      </c>
      <c r="AW169" s="39">
        <v>0.0</v>
      </c>
      <c r="AX169" s="39">
        <v>0.0</v>
      </c>
      <c r="AY169" s="39">
        <v>0.0</v>
      </c>
      <c r="AZ169" s="39">
        <v>0.0</v>
      </c>
      <c r="BA169" s="39">
        <v>0.0</v>
      </c>
      <c r="BB169" s="39">
        <v>0.0</v>
      </c>
      <c r="BC169" s="39">
        <v>735.0</v>
      </c>
      <c r="BD169" s="39">
        <v>0.0</v>
      </c>
      <c r="BE169" s="39">
        <v>0.0</v>
      </c>
      <c r="BF169" s="39">
        <v>0.0</v>
      </c>
      <c r="BG169" s="39">
        <v>0.0</v>
      </c>
      <c r="BH169" s="48"/>
      <c r="BI169" s="47"/>
    </row>
    <row r="170">
      <c r="A170" s="38">
        <f t="shared" si="1"/>
        <v>45991</v>
      </c>
      <c r="B170" s="39">
        <v>14.0</v>
      </c>
      <c r="C170" s="39" t="s">
        <v>1763</v>
      </c>
      <c r="D170" s="39">
        <v>1.0</v>
      </c>
      <c r="E170" s="39">
        <v>2.65608367E9</v>
      </c>
      <c r="F170" s="39" t="s">
        <v>1721</v>
      </c>
      <c r="G170" s="39" t="s">
        <v>1764</v>
      </c>
      <c r="H170" s="39" t="s">
        <v>1765</v>
      </c>
      <c r="I170" s="40">
        <v>45991.0</v>
      </c>
      <c r="J170" s="40">
        <v>45992.0</v>
      </c>
      <c r="K170" s="46"/>
      <c r="L170" s="48"/>
      <c r="M170" s="48"/>
      <c r="N170" s="48"/>
      <c r="O170" s="39">
        <v>7.666584007E9</v>
      </c>
      <c r="P170" s="39" t="s">
        <v>1766</v>
      </c>
      <c r="Q170" s="39" t="s">
        <v>1767</v>
      </c>
      <c r="R170" s="39">
        <v>2.0</v>
      </c>
      <c r="S170" s="39">
        <v>27803.0</v>
      </c>
      <c r="T170" s="39">
        <v>40000.0</v>
      </c>
      <c r="U170" s="39">
        <v>0.0</v>
      </c>
      <c r="V170" s="39">
        <v>12197.0</v>
      </c>
      <c r="W170" s="39">
        <v>0.0</v>
      </c>
      <c r="X170" s="39">
        <v>40000.0</v>
      </c>
      <c r="Y170" s="39">
        <v>0.0</v>
      </c>
      <c r="Z170" s="39">
        <v>0.0</v>
      </c>
      <c r="AA170" s="39">
        <v>0.0</v>
      </c>
      <c r="AB170" s="39">
        <v>0.0</v>
      </c>
      <c r="AC170" s="39">
        <v>0.0</v>
      </c>
      <c r="AD170" s="39">
        <v>0.0</v>
      </c>
      <c r="AE170" s="39">
        <v>0.0</v>
      </c>
      <c r="AF170" s="39">
        <v>0.0</v>
      </c>
      <c r="AG170" s="39">
        <v>0.0</v>
      </c>
      <c r="AH170" s="39">
        <v>0.0</v>
      </c>
      <c r="AI170" s="39">
        <v>0.0</v>
      </c>
      <c r="AJ170" s="39">
        <v>0.0</v>
      </c>
      <c r="AK170" s="48"/>
      <c r="AL170" s="39">
        <v>4.6097330447E11</v>
      </c>
      <c r="AM170" s="39" t="s">
        <v>1209</v>
      </c>
      <c r="AN170" s="42">
        <v>0.13</v>
      </c>
      <c r="AO170" s="43">
        <v>4568.0</v>
      </c>
      <c r="AP170" s="39">
        <v>0.0</v>
      </c>
      <c r="AQ170" s="39">
        <v>0.0</v>
      </c>
      <c r="AR170" s="39">
        <v>0.0</v>
      </c>
      <c r="AS170" s="39">
        <v>2180.0</v>
      </c>
      <c r="AT170" s="39">
        <v>1390.0</v>
      </c>
      <c r="AU170" s="39">
        <v>790.0</v>
      </c>
      <c r="AV170" s="39">
        <v>0.0</v>
      </c>
      <c r="AW170" s="39">
        <v>4000.0</v>
      </c>
      <c r="AX170" s="39">
        <v>0.0</v>
      </c>
      <c r="AY170" s="39">
        <v>0.0</v>
      </c>
      <c r="AZ170" s="39">
        <v>0.0</v>
      </c>
      <c r="BA170" s="39">
        <v>0.0</v>
      </c>
      <c r="BB170" s="39">
        <v>0.0</v>
      </c>
      <c r="BC170" s="39">
        <v>1449.0</v>
      </c>
      <c r="BD170" s="39">
        <v>0.0</v>
      </c>
      <c r="BE170" s="39">
        <v>0.0</v>
      </c>
      <c r="BF170" s="39">
        <v>0.0</v>
      </c>
      <c r="BG170" s="39">
        <v>0.0</v>
      </c>
      <c r="BH170" s="48"/>
      <c r="BI170" s="47"/>
    </row>
    <row r="171">
      <c r="A171" s="38">
        <f t="shared" si="1"/>
        <v>45991</v>
      </c>
      <c r="B171" s="39">
        <v>15.0</v>
      </c>
      <c r="C171" s="39" t="s">
        <v>1768</v>
      </c>
      <c r="D171" s="39">
        <v>1.0</v>
      </c>
      <c r="E171" s="39">
        <v>2.65608369E9</v>
      </c>
      <c r="F171" s="39" t="s">
        <v>1721</v>
      </c>
      <c r="G171" s="39" t="s">
        <v>1769</v>
      </c>
      <c r="H171" s="39" t="s">
        <v>1770</v>
      </c>
      <c r="I171" s="40">
        <v>45991.0</v>
      </c>
      <c r="J171" s="40">
        <v>45992.0</v>
      </c>
      <c r="K171" s="46"/>
      <c r="L171" s="48"/>
      <c r="M171" s="48"/>
      <c r="N171" s="48"/>
      <c r="O171" s="39">
        <v>6.342749718E9</v>
      </c>
      <c r="P171" s="39" t="s">
        <v>1213</v>
      </c>
      <c r="Q171" s="39" t="s">
        <v>1283</v>
      </c>
      <c r="R171" s="39">
        <v>1.0</v>
      </c>
      <c r="S171" s="39">
        <v>22551.0</v>
      </c>
      <c r="T171" s="39">
        <v>59000.0</v>
      </c>
      <c r="U171" s="39">
        <v>0.0</v>
      </c>
      <c r="V171" s="39">
        <v>36449.0</v>
      </c>
      <c r="W171" s="39">
        <v>0.0</v>
      </c>
      <c r="X171" s="39">
        <v>59000.0</v>
      </c>
      <c r="Y171" s="39">
        <v>0.0</v>
      </c>
      <c r="Z171" s="39">
        <v>0.0</v>
      </c>
      <c r="AA171" s="39">
        <v>0.0</v>
      </c>
      <c r="AB171" s="39">
        <v>0.0</v>
      </c>
      <c r="AC171" s="39">
        <v>0.0</v>
      </c>
      <c r="AD171" s="39">
        <v>0.0</v>
      </c>
      <c r="AE171" s="39">
        <v>0.0</v>
      </c>
      <c r="AF171" s="39">
        <v>0.0</v>
      </c>
      <c r="AG171" s="39">
        <v>0.0</v>
      </c>
      <c r="AH171" s="39">
        <v>0.0</v>
      </c>
      <c r="AI171" s="39">
        <v>0.0</v>
      </c>
      <c r="AJ171" s="39">
        <v>0.0</v>
      </c>
      <c r="AK171" s="48"/>
      <c r="AL171" s="39">
        <v>4.60973304481E11</v>
      </c>
      <c r="AM171" s="39" t="s">
        <v>1209</v>
      </c>
      <c r="AN171" s="42">
        <v>0.09</v>
      </c>
      <c r="AO171" s="43">
        <v>3710.0</v>
      </c>
      <c r="AP171" s="39">
        <v>0.0</v>
      </c>
      <c r="AQ171" s="39">
        <v>0.0</v>
      </c>
      <c r="AR171" s="39">
        <v>0.0</v>
      </c>
      <c r="AS171" s="39">
        <v>31100.0</v>
      </c>
      <c r="AT171" s="39">
        <v>29100.0</v>
      </c>
      <c r="AU171" s="39">
        <v>2000.0</v>
      </c>
      <c r="AV171" s="39">
        <v>0.0</v>
      </c>
      <c r="AW171" s="39">
        <v>0.0</v>
      </c>
      <c r="AX171" s="39">
        <v>0.0</v>
      </c>
      <c r="AY171" s="39">
        <v>0.0</v>
      </c>
      <c r="AZ171" s="39">
        <v>0.0</v>
      </c>
      <c r="BA171" s="39">
        <v>0.0</v>
      </c>
      <c r="BB171" s="39">
        <v>0.0</v>
      </c>
      <c r="BC171" s="39">
        <v>1639.0</v>
      </c>
      <c r="BD171" s="39">
        <v>0.0</v>
      </c>
      <c r="BE171" s="39">
        <v>0.0</v>
      </c>
      <c r="BF171" s="39">
        <v>0.0</v>
      </c>
      <c r="BG171" s="39">
        <v>0.0</v>
      </c>
      <c r="BH171" s="48"/>
      <c r="BI171" s="47"/>
    </row>
    <row r="172">
      <c r="A172" s="38">
        <f t="shared" si="1"/>
        <v>45991</v>
      </c>
      <c r="B172" s="39">
        <v>16.0</v>
      </c>
      <c r="C172" s="39" t="s">
        <v>1771</v>
      </c>
      <c r="D172" s="39">
        <v>1.0</v>
      </c>
      <c r="E172" s="39">
        <v>2.656093871E9</v>
      </c>
      <c r="F172" s="39" t="s">
        <v>1721</v>
      </c>
      <c r="G172" s="39" t="s">
        <v>1772</v>
      </c>
      <c r="H172" s="39" t="s">
        <v>1773</v>
      </c>
      <c r="I172" s="40">
        <v>45991.0</v>
      </c>
      <c r="J172" s="40">
        <v>45992.0</v>
      </c>
      <c r="K172" s="46"/>
      <c r="L172" s="48"/>
      <c r="M172" s="48"/>
      <c r="N172" s="48"/>
      <c r="O172" s="39">
        <v>8.71379692E9</v>
      </c>
      <c r="P172" s="39" t="s">
        <v>1478</v>
      </c>
      <c r="Q172" s="39" t="s">
        <v>1479</v>
      </c>
      <c r="R172" s="39">
        <v>1.0</v>
      </c>
      <c r="S172" s="39">
        <v>99190.0</v>
      </c>
      <c r="T172" s="39">
        <v>109000.0</v>
      </c>
      <c r="U172" s="39">
        <v>0.0</v>
      </c>
      <c r="V172" s="39">
        <v>9810.0</v>
      </c>
      <c r="W172" s="39">
        <v>0.0</v>
      </c>
      <c r="X172" s="39">
        <v>109000.0</v>
      </c>
      <c r="Y172" s="39">
        <v>0.0</v>
      </c>
      <c r="Z172" s="39">
        <v>0.0</v>
      </c>
      <c r="AA172" s="39">
        <v>0.0</v>
      </c>
      <c r="AB172" s="39">
        <v>0.0</v>
      </c>
      <c r="AC172" s="39">
        <v>0.0</v>
      </c>
      <c r="AD172" s="39">
        <v>0.0</v>
      </c>
      <c r="AE172" s="39">
        <v>0.0</v>
      </c>
      <c r="AF172" s="39">
        <v>0.0</v>
      </c>
      <c r="AG172" s="39">
        <v>0.0</v>
      </c>
      <c r="AH172" s="39">
        <v>0.0</v>
      </c>
      <c r="AI172" s="39">
        <v>0.0</v>
      </c>
      <c r="AJ172" s="39">
        <v>0.0</v>
      </c>
      <c r="AK172" s="48"/>
      <c r="AL172" s="39">
        <v>4.6097456594E11</v>
      </c>
      <c r="AM172" s="39" t="s">
        <v>1209</v>
      </c>
      <c r="AN172" s="42">
        <v>0.09</v>
      </c>
      <c r="AO172" s="43">
        <v>9810.0</v>
      </c>
      <c r="AP172" s="39">
        <v>0.0</v>
      </c>
      <c r="AQ172" s="39">
        <v>0.0</v>
      </c>
      <c r="AR172" s="39">
        <v>0.0</v>
      </c>
      <c r="AS172" s="39">
        <v>0.0</v>
      </c>
      <c r="AT172" s="39">
        <v>0.0</v>
      </c>
      <c r="AU172" s="39">
        <v>0.0</v>
      </c>
      <c r="AV172" s="39">
        <v>0.0</v>
      </c>
      <c r="AW172" s="39">
        <v>0.0</v>
      </c>
      <c r="AX172" s="39">
        <v>0.0</v>
      </c>
      <c r="AY172" s="39">
        <v>0.0</v>
      </c>
      <c r="AZ172" s="39">
        <v>0.0</v>
      </c>
      <c r="BA172" s="39">
        <v>0.0</v>
      </c>
      <c r="BB172" s="39">
        <v>0.0</v>
      </c>
      <c r="BC172" s="39">
        <v>0.0</v>
      </c>
      <c r="BD172" s="39">
        <v>0.0</v>
      </c>
      <c r="BE172" s="39">
        <v>0.0</v>
      </c>
      <c r="BF172" s="39">
        <v>0.0</v>
      </c>
      <c r="BG172" s="39">
        <v>0.0</v>
      </c>
      <c r="BH172" s="48"/>
      <c r="BI172" s="47"/>
    </row>
    <row r="173">
      <c r="A173" s="38">
        <f t="shared" si="1"/>
        <v>45991</v>
      </c>
      <c r="B173" s="39">
        <v>17.0</v>
      </c>
      <c r="C173" s="39" t="s">
        <v>1774</v>
      </c>
      <c r="D173" s="39">
        <v>1.0</v>
      </c>
      <c r="E173" s="39">
        <v>2.656099772E9</v>
      </c>
      <c r="F173" s="39" t="s">
        <v>1721</v>
      </c>
      <c r="G173" s="39" t="s">
        <v>1775</v>
      </c>
      <c r="H173" s="39" t="s">
        <v>1776</v>
      </c>
      <c r="I173" s="40">
        <v>45991.0</v>
      </c>
      <c r="J173" s="40">
        <v>45992.0</v>
      </c>
      <c r="K173" s="46"/>
      <c r="L173" s="48"/>
      <c r="M173" s="48"/>
      <c r="N173" s="48"/>
      <c r="O173" s="39">
        <v>8.71379692E9</v>
      </c>
      <c r="P173" s="39" t="s">
        <v>1478</v>
      </c>
      <c r="Q173" s="39" t="s">
        <v>1479</v>
      </c>
      <c r="R173" s="39">
        <v>1.0</v>
      </c>
      <c r="S173" s="39">
        <v>97991.0</v>
      </c>
      <c r="T173" s="39">
        <v>109000.0</v>
      </c>
      <c r="U173" s="39">
        <v>0.0</v>
      </c>
      <c r="V173" s="39">
        <v>11009.0</v>
      </c>
      <c r="W173" s="39">
        <v>0.0</v>
      </c>
      <c r="X173" s="39">
        <v>109000.0</v>
      </c>
      <c r="Y173" s="39">
        <v>0.0</v>
      </c>
      <c r="Z173" s="39">
        <v>0.0</v>
      </c>
      <c r="AA173" s="39">
        <v>0.0</v>
      </c>
      <c r="AB173" s="39">
        <v>0.0</v>
      </c>
      <c r="AC173" s="39">
        <v>0.0</v>
      </c>
      <c r="AD173" s="39">
        <v>0.0</v>
      </c>
      <c r="AE173" s="39">
        <v>0.0</v>
      </c>
      <c r="AF173" s="39">
        <v>0.0</v>
      </c>
      <c r="AG173" s="39">
        <v>0.0</v>
      </c>
      <c r="AH173" s="39">
        <v>0.0</v>
      </c>
      <c r="AI173" s="39">
        <v>0.0</v>
      </c>
      <c r="AJ173" s="39">
        <v>0.0</v>
      </c>
      <c r="AK173" s="48"/>
      <c r="AL173" s="39">
        <v>4.60974565951E11</v>
      </c>
      <c r="AM173" s="39" t="s">
        <v>1209</v>
      </c>
      <c r="AN173" s="42">
        <v>0.09</v>
      </c>
      <c r="AO173" s="43">
        <v>9810.0</v>
      </c>
      <c r="AP173" s="39">
        <v>0.0</v>
      </c>
      <c r="AQ173" s="39">
        <v>0.0</v>
      </c>
      <c r="AR173" s="39">
        <v>0.0</v>
      </c>
      <c r="AS173" s="39">
        <v>0.0</v>
      </c>
      <c r="AT173" s="39">
        <v>0.0</v>
      </c>
      <c r="AU173" s="39">
        <v>0.0</v>
      </c>
      <c r="AV173" s="39">
        <v>0.0</v>
      </c>
      <c r="AW173" s="39">
        <v>0.0</v>
      </c>
      <c r="AX173" s="39">
        <v>0.0</v>
      </c>
      <c r="AY173" s="39">
        <v>0.0</v>
      </c>
      <c r="AZ173" s="39">
        <v>0.0</v>
      </c>
      <c r="BA173" s="39">
        <v>0.0</v>
      </c>
      <c r="BB173" s="39">
        <v>0.0</v>
      </c>
      <c r="BC173" s="39">
        <v>1199.0</v>
      </c>
      <c r="BD173" s="39">
        <v>0.0</v>
      </c>
      <c r="BE173" s="39">
        <v>0.0</v>
      </c>
      <c r="BF173" s="39">
        <v>0.0</v>
      </c>
      <c r="BG173" s="39">
        <v>0.0</v>
      </c>
      <c r="BH173" s="48"/>
      <c r="BI173" s="47"/>
    </row>
    <row r="174">
      <c r="A174" s="38">
        <f t="shared" si="1"/>
        <v>45991</v>
      </c>
      <c r="B174" s="39">
        <v>18.0</v>
      </c>
      <c r="C174" s="39">
        <v>2.02511300189641E16</v>
      </c>
      <c r="D174" s="39">
        <v>1.0</v>
      </c>
      <c r="E174" s="39">
        <v>2.656106557E9</v>
      </c>
      <c r="F174" s="39" t="s">
        <v>1721</v>
      </c>
      <c r="G174" s="39" t="s">
        <v>1777</v>
      </c>
      <c r="H174" s="39" t="s">
        <v>1778</v>
      </c>
      <c r="I174" s="40">
        <v>45991.0</v>
      </c>
      <c r="J174" s="40">
        <v>45992.0</v>
      </c>
      <c r="K174" s="46"/>
      <c r="L174" s="48"/>
      <c r="M174" s="48"/>
      <c r="N174" s="48"/>
      <c r="O174" s="39">
        <v>8.718794512E9</v>
      </c>
      <c r="P174" s="39" t="s">
        <v>1551</v>
      </c>
      <c r="Q174" s="39" t="s">
        <v>1259</v>
      </c>
      <c r="R174" s="39">
        <v>1.0</v>
      </c>
      <c r="S174" s="39">
        <v>131950.0</v>
      </c>
      <c r="T174" s="39">
        <v>145000.0</v>
      </c>
      <c r="U174" s="39">
        <v>0.0</v>
      </c>
      <c r="V174" s="39">
        <v>13050.0</v>
      </c>
      <c r="W174" s="39">
        <v>0.0</v>
      </c>
      <c r="X174" s="39">
        <v>145000.0</v>
      </c>
      <c r="Y174" s="39">
        <v>0.0</v>
      </c>
      <c r="Z174" s="39">
        <v>0.0</v>
      </c>
      <c r="AA174" s="39">
        <v>0.0</v>
      </c>
      <c r="AB174" s="39">
        <v>0.0</v>
      </c>
      <c r="AC174" s="39">
        <v>0.0</v>
      </c>
      <c r="AD174" s="39">
        <v>0.0</v>
      </c>
      <c r="AE174" s="39">
        <v>0.0</v>
      </c>
      <c r="AF174" s="39">
        <v>0.0</v>
      </c>
      <c r="AG174" s="39">
        <v>0.0</v>
      </c>
      <c r="AH174" s="39">
        <v>0.0</v>
      </c>
      <c r="AI174" s="39">
        <v>0.0</v>
      </c>
      <c r="AJ174" s="39">
        <v>0.0</v>
      </c>
      <c r="AK174" s="48"/>
      <c r="AL174" s="39">
        <v>5.40645142816E11</v>
      </c>
      <c r="AM174" s="39" t="s">
        <v>1209</v>
      </c>
      <c r="AN174" s="42">
        <v>0.09</v>
      </c>
      <c r="AO174" s="43">
        <v>13050.0</v>
      </c>
      <c r="AP174" s="39">
        <v>0.0</v>
      </c>
      <c r="AQ174" s="39">
        <v>0.0</v>
      </c>
      <c r="AR174" s="39">
        <v>0.0</v>
      </c>
      <c r="AS174" s="39">
        <v>0.0</v>
      </c>
      <c r="AT174" s="39">
        <v>0.0</v>
      </c>
      <c r="AU174" s="39">
        <v>0.0</v>
      </c>
      <c r="AV174" s="39">
        <v>0.0</v>
      </c>
      <c r="AW174" s="39">
        <v>0.0</v>
      </c>
      <c r="AX174" s="39">
        <v>0.0</v>
      </c>
      <c r="AY174" s="39">
        <v>0.0</v>
      </c>
      <c r="AZ174" s="39">
        <v>0.0</v>
      </c>
      <c r="BA174" s="39">
        <v>0.0</v>
      </c>
      <c r="BB174" s="39">
        <v>0.0</v>
      </c>
      <c r="BC174" s="39">
        <v>0.0</v>
      </c>
      <c r="BD174" s="39">
        <v>0.0</v>
      </c>
      <c r="BE174" s="39">
        <v>0.0</v>
      </c>
      <c r="BF174" s="39">
        <v>0.0</v>
      </c>
      <c r="BG174" s="39">
        <v>0.0</v>
      </c>
      <c r="BH174" s="48"/>
      <c r="BI174" s="47"/>
    </row>
    <row r="175">
      <c r="A175" s="38">
        <f t="shared" si="1"/>
        <v>45982</v>
      </c>
      <c r="B175" s="39">
        <v>19.0</v>
      </c>
      <c r="C175" s="39" t="s">
        <v>1779</v>
      </c>
      <c r="D175" s="39">
        <v>1.0</v>
      </c>
      <c r="E175" s="39">
        <v>2.654301436E9</v>
      </c>
      <c r="F175" s="39" t="s">
        <v>100</v>
      </c>
      <c r="G175" s="39" t="s">
        <v>1780</v>
      </c>
      <c r="H175" s="39" t="s">
        <v>1781</v>
      </c>
      <c r="I175" s="40">
        <v>45982.0</v>
      </c>
      <c r="J175" s="40">
        <v>45985.0</v>
      </c>
      <c r="K175" s="40">
        <v>45986.0</v>
      </c>
      <c r="L175" s="48"/>
      <c r="M175" s="48"/>
      <c r="N175" s="48"/>
      <c r="O175" s="39">
        <v>7.175614365E9</v>
      </c>
      <c r="P175" s="39" t="s">
        <v>1263</v>
      </c>
      <c r="Q175" s="39" t="s">
        <v>1219</v>
      </c>
      <c r="R175" s="39">
        <v>1.0</v>
      </c>
      <c r="S175" s="39">
        <v>13330.0</v>
      </c>
      <c r="T175" s="39">
        <v>15000.0</v>
      </c>
      <c r="U175" s="39">
        <v>0.0</v>
      </c>
      <c r="V175" s="39">
        <v>1670.0</v>
      </c>
      <c r="W175" s="39">
        <v>0.0</v>
      </c>
      <c r="X175" s="39">
        <v>15000.0</v>
      </c>
      <c r="Y175" s="39">
        <v>0.0</v>
      </c>
      <c r="Z175" s="39">
        <v>0.0</v>
      </c>
      <c r="AA175" s="39">
        <v>0.0</v>
      </c>
      <c r="AB175" s="39">
        <v>0.0</v>
      </c>
      <c r="AC175" s="39">
        <v>0.0</v>
      </c>
      <c r="AD175" s="39">
        <v>0.0</v>
      </c>
      <c r="AE175" s="39">
        <v>0.0</v>
      </c>
      <c r="AF175" s="39">
        <v>0.0</v>
      </c>
      <c r="AG175" s="39">
        <v>0.0</v>
      </c>
      <c r="AH175" s="39">
        <v>0.0</v>
      </c>
      <c r="AI175" s="39">
        <v>0.0</v>
      </c>
      <c r="AJ175" s="39">
        <v>0.0</v>
      </c>
      <c r="AK175" s="48"/>
      <c r="AL175" s="39">
        <v>4.60912410523E11</v>
      </c>
      <c r="AM175" s="39" t="s">
        <v>1209</v>
      </c>
      <c r="AN175" s="42">
        <v>0.09</v>
      </c>
      <c r="AO175" s="43">
        <v>510.0</v>
      </c>
      <c r="AP175" s="39">
        <v>0.0</v>
      </c>
      <c r="AQ175" s="39">
        <v>0.0</v>
      </c>
      <c r="AR175" s="39">
        <v>0.0</v>
      </c>
      <c r="AS175" s="39">
        <v>1050.0</v>
      </c>
      <c r="AT175" s="39">
        <v>0.0</v>
      </c>
      <c r="AU175" s="39">
        <v>1050.0</v>
      </c>
      <c r="AV175" s="39">
        <v>0.0</v>
      </c>
      <c r="AW175" s="39">
        <v>0.0</v>
      </c>
      <c r="AX175" s="39">
        <v>0.0</v>
      </c>
      <c r="AY175" s="39">
        <v>0.0</v>
      </c>
      <c r="AZ175" s="39">
        <v>0.0</v>
      </c>
      <c r="BA175" s="39">
        <v>0.0</v>
      </c>
      <c r="BB175" s="39">
        <v>0.0</v>
      </c>
      <c r="BC175" s="39">
        <v>110.0</v>
      </c>
      <c r="BD175" s="39">
        <v>0.0</v>
      </c>
      <c r="BE175" s="39">
        <v>0.0</v>
      </c>
      <c r="BF175" s="39">
        <v>0.0</v>
      </c>
      <c r="BG175" s="39">
        <v>0.0</v>
      </c>
      <c r="BH175" s="48"/>
      <c r="BI175" s="47"/>
    </row>
    <row r="176">
      <c r="A176" s="38">
        <f t="shared" si="1"/>
        <v>45982</v>
      </c>
      <c r="B176" s="39">
        <v>20.0</v>
      </c>
      <c r="C176" s="39" t="s">
        <v>1782</v>
      </c>
      <c r="D176" s="39">
        <v>1.0</v>
      </c>
      <c r="E176" s="39">
        <v>2.654311529E9</v>
      </c>
      <c r="F176" s="39" t="s">
        <v>100</v>
      </c>
      <c r="G176" s="39" t="s">
        <v>1783</v>
      </c>
      <c r="H176" s="39" t="s">
        <v>1784</v>
      </c>
      <c r="I176" s="40">
        <v>45982.0</v>
      </c>
      <c r="J176" s="40">
        <v>45985.0</v>
      </c>
      <c r="K176" s="40">
        <v>45986.0</v>
      </c>
      <c r="L176" s="48"/>
      <c r="M176" s="48"/>
      <c r="N176" s="48"/>
      <c r="O176" s="39">
        <v>6.546161396E9</v>
      </c>
      <c r="P176" s="39" t="s">
        <v>1231</v>
      </c>
      <c r="Q176" s="39" t="s">
        <v>1236</v>
      </c>
      <c r="R176" s="39">
        <v>1.0</v>
      </c>
      <c r="S176" s="39">
        <v>13764.0</v>
      </c>
      <c r="T176" s="39">
        <v>18000.0</v>
      </c>
      <c r="U176" s="39">
        <v>0.0</v>
      </c>
      <c r="V176" s="39">
        <v>4236.0</v>
      </c>
      <c r="W176" s="39">
        <v>13764.0</v>
      </c>
      <c r="X176" s="39">
        <v>18000.0</v>
      </c>
      <c r="Y176" s="39">
        <v>0.0</v>
      </c>
      <c r="Z176" s="39">
        <v>0.0</v>
      </c>
      <c r="AA176" s="39">
        <v>0.0</v>
      </c>
      <c r="AB176" s="39">
        <v>0.0</v>
      </c>
      <c r="AC176" s="39">
        <v>0.0</v>
      </c>
      <c r="AD176" s="39">
        <v>0.0</v>
      </c>
      <c r="AE176" s="39">
        <v>0.0</v>
      </c>
      <c r="AF176" s="39">
        <v>0.0</v>
      </c>
      <c r="AG176" s="39">
        <v>0.0</v>
      </c>
      <c r="AH176" s="39">
        <v>0.0</v>
      </c>
      <c r="AI176" s="39">
        <v>0.0</v>
      </c>
      <c r="AJ176" s="39">
        <v>0.0</v>
      </c>
      <c r="AK176" s="48"/>
      <c r="AL176" s="39">
        <v>4.60912410534E11</v>
      </c>
      <c r="AM176" s="39" t="s">
        <v>1209</v>
      </c>
      <c r="AN176" s="42">
        <v>0.11</v>
      </c>
      <c r="AO176" s="43">
        <v>1124.0</v>
      </c>
      <c r="AP176" s="39">
        <v>0.0</v>
      </c>
      <c r="AQ176" s="39">
        <v>0.0</v>
      </c>
      <c r="AR176" s="39">
        <v>0.0</v>
      </c>
      <c r="AS176" s="39">
        <v>2780.0</v>
      </c>
      <c r="AT176" s="39">
        <v>1710.0</v>
      </c>
      <c r="AU176" s="39">
        <v>1070.0</v>
      </c>
      <c r="AV176" s="39">
        <v>0.0</v>
      </c>
      <c r="AW176" s="39">
        <v>0.0</v>
      </c>
      <c r="AX176" s="39">
        <v>0.0</v>
      </c>
      <c r="AY176" s="39">
        <v>0.0</v>
      </c>
      <c r="AZ176" s="39">
        <v>0.0</v>
      </c>
      <c r="BA176" s="39">
        <v>0.0</v>
      </c>
      <c r="BB176" s="39">
        <v>0.0</v>
      </c>
      <c r="BC176" s="39">
        <v>332.0</v>
      </c>
      <c r="BD176" s="39">
        <v>0.0</v>
      </c>
      <c r="BE176" s="39">
        <v>0.0</v>
      </c>
      <c r="BF176" s="39">
        <v>0.0</v>
      </c>
      <c r="BG176" s="39">
        <v>0.0</v>
      </c>
      <c r="BH176" s="48"/>
      <c r="BI176" s="47"/>
    </row>
    <row r="177">
      <c r="A177" s="38">
        <f t="shared" si="1"/>
        <v>45985</v>
      </c>
      <c r="B177" s="39">
        <v>21.0</v>
      </c>
      <c r="C177" s="39" t="s">
        <v>1785</v>
      </c>
      <c r="D177" s="39">
        <v>1.0</v>
      </c>
      <c r="E177" s="39">
        <v>2.654327908E9</v>
      </c>
      <c r="F177" s="39" t="s">
        <v>100</v>
      </c>
      <c r="G177" s="39" t="s">
        <v>1786</v>
      </c>
      <c r="H177" s="39" t="s">
        <v>1787</v>
      </c>
      <c r="I177" s="40">
        <v>45985.0</v>
      </c>
      <c r="J177" s="40">
        <v>45985.0</v>
      </c>
      <c r="K177" s="40">
        <v>45986.0</v>
      </c>
      <c r="L177" s="48"/>
      <c r="M177" s="48"/>
      <c r="N177" s="48"/>
      <c r="O177" s="39">
        <v>6.546161396E9</v>
      </c>
      <c r="P177" s="39" t="s">
        <v>1231</v>
      </c>
      <c r="Q177" s="39" t="s">
        <v>1236</v>
      </c>
      <c r="R177" s="39">
        <v>1.0</v>
      </c>
      <c r="S177" s="39">
        <v>13986.0</v>
      </c>
      <c r="T177" s="39">
        <v>18000.0</v>
      </c>
      <c r="U177" s="39">
        <v>0.0</v>
      </c>
      <c r="V177" s="39">
        <v>4014.0</v>
      </c>
      <c r="W177" s="39">
        <v>13986.0</v>
      </c>
      <c r="X177" s="39">
        <v>18000.0</v>
      </c>
      <c r="Y177" s="39">
        <v>0.0</v>
      </c>
      <c r="Z177" s="39">
        <v>0.0</v>
      </c>
      <c r="AA177" s="39">
        <v>0.0</v>
      </c>
      <c r="AB177" s="39">
        <v>0.0</v>
      </c>
      <c r="AC177" s="39">
        <v>0.0</v>
      </c>
      <c r="AD177" s="39">
        <v>0.0</v>
      </c>
      <c r="AE177" s="39">
        <v>0.0</v>
      </c>
      <c r="AF177" s="39">
        <v>0.0</v>
      </c>
      <c r="AG177" s="39">
        <v>0.0</v>
      </c>
      <c r="AH177" s="39">
        <v>0.0</v>
      </c>
      <c r="AI177" s="39">
        <v>0.0</v>
      </c>
      <c r="AJ177" s="39">
        <v>0.0</v>
      </c>
      <c r="AK177" s="48"/>
      <c r="AL177" s="39">
        <v>4.60920933126E11</v>
      </c>
      <c r="AM177" s="39" t="s">
        <v>1209</v>
      </c>
      <c r="AN177" s="42">
        <v>0.11</v>
      </c>
      <c r="AO177" s="43">
        <v>1124.0</v>
      </c>
      <c r="AP177" s="39">
        <v>0.0</v>
      </c>
      <c r="AQ177" s="39">
        <v>0.0</v>
      </c>
      <c r="AR177" s="39">
        <v>0.0</v>
      </c>
      <c r="AS177" s="39">
        <v>2780.0</v>
      </c>
      <c r="AT177" s="39">
        <v>1710.0</v>
      </c>
      <c r="AU177" s="39">
        <v>1070.0</v>
      </c>
      <c r="AV177" s="39">
        <v>0.0</v>
      </c>
      <c r="AW177" s="39">
        <v>0.0</v>
      </c>
      <c r="AX177" s="39">
        <v>0.0</v>
      </c>
      <c r="AY177" s="39">
        <v>0.0</v>
      </c>
      <c r="AZ177" s="39">
        <v>0.0</v>
      </c>
      <c r="BA177" s="39">
        <v>0.0</v>
      </c>
      <c r="BB177" s="39">
        <v>0.0</v>
      </c>
      <c r="BC177" s="39">
        <v>110.0</v>
      </c>
      <c r="BD177" s="39">
        <v>0.0</v>
      </c>
      <c r="BE177" s="39">
        <v>0.0</v>
      </c>
      <c r="BF177" s="39">
        <v>0.0</v>
      </c>
      <c r="BG177" s="39">
        <v>0.0</v>
      </c>
      <c r="BH177" s="48"/>
      <c r="BI177" s="47"/>
    </row>
    <row r="178">
      <c r="A178" s="38">
        <f t="shared" si="1"/>
        <v>45983</v>
      </c>
      <c r="B178" s="39">
        <v>22.0</v>
      </c>
      <c r="C178" s="39" t="s">
        <v>1788</v>
      </c>
      <c r="D178" s="39">
        <v>1.0</v>
      </c>
      <c r="E178" s="39">
        <v>2.654373782E9</v>
      </c>
      <c r="F178" s="39" t="s">
        <v>100</v>
      </c>
      <c r="G178" s="39" t="s">
        <v>1789</v>
      </c>
      <c r="H178" s="39" t="s">
        <v>1790</v>
      </c>
      <c r="I178" s="40">
        <v>45983.0</v>
      </c>
      <c r="J178" s="40">
        <v>45985.0</v>
      </c>
      <c r="K178" s="40">
        <v>45986.0</v>
      </c>
      <c r="L178" s="48"/>
      <c r="M178" s="48"/>
      <c r="N178" s="48"/>
      <c r="O178" s="39">
        <v>7.175614365E9</v>
      </c>
      <c r="P178" s="39" t="s">
        <v>1263</v>
      </c>
      <c r="Q178" s="39" t="s">
        <v>1219</v>
      </c>
      <c r="R178" s="39">
        <v>1.0</v>
      </c>
      <c r="S178" s="39">
        <v>13330.0</v>
      </c>
      <c r="T178" s="39">
        <v>15000.0</v>
      </c>
      <c r="U178" s="39">
        <v>0.0</v>
      </c>
      <c r="V178" s="39">
        <v>1670.0</v>
      </c>
      <c r="W178" s="39">
        <v>0.0</v>
      </c>
      <c r="X178" s="39">
        <v>15000.0</v>
      </c>
      <c r="Y178" s="39">
        <v>0.0</v>
      </c>
      <c r="Z178" s="39">
        <v>0.0</v>
      </c>
      <c r="AA178" s="39">
        <v>0.0</v>
      </c>
      <c r="AB178" s="39">
        <v>0.0</v>
      </c>
      <c r="AC178" s="39">
        <v>0.0</v>
      </c>
      <c r="AD178" s="39">
        <v>0.0</v>
      </c>
      <c r="AE178" s="39">
        <v>0.0</v>
      </c>
      <c r="AF178" s="39">
        <v>0.0</v>
      </c>
      <c r="AG178" s="39">
        <v>0.0</v>
      </c>
      <c r="AH178" s="39">
        <v>0.0</v>
      </c>
      <c r="AI178" s="39">
        <v>0.0</v>
      </c>
      <c r="AJ178" s="39">
        <v>0.0</v>
      </c>
      <c r="AK178" s="48"/>
      <c r="AL178" s="39">
        <v>4.60912410545E11</v>
      </c>
      <c r="AM178" s="39" t="s">
        <v>1209</v>
      </c>
      <c r="AN178" s="42">
        <v>0.09</v>
      </c>
      <c r="AO178" s="43">
        <v>510.0</v>
      </c>
      <c r="AP178" s="39">
        <v>0.0</v>
      </c>
      <c r="AQ178" s="39">
        <v>0.0</v>
      </c>
      <c r="AR178" s="39">
        <v>0.0</v>
      </c>
      <c r="AS178" s="39">
        <v>1050.0</v>
      </c>
      <c r="AT178" s="39">
        <v>0.0</v>
      </c>
      <c r="AU178" s="39">
        <v>1050.0</v>
      </c>
      <c r="AV178" s="39">
        <v>0.0</v>
      </c>
      <c r="AW178" s="39">
        <v>0.0</v>
      </c>
      <c r="AX178" s="39">
        <v>0.0</v>
      </c>
      <c r="AY178" s="39">
        <v>0.0</v>
      </c>
      <c r="AZ178" s="39">
        <v>0.0</v>
      </c>
      <c r="BA178" s="39">
        <v>0.0</v>
      </c>
      <c r="BB178" s="39">
        <v>0.0</v>
      </c>
      <c r="BC178" s="39">
        <v>110.0</v>
      </c>
      <c r="BD178" s="39">
        <v>0.0</v>
      </c>
      <c r="BE178" s="39">
        <v>0.0</v>
      </c>
      <c r="BF178" s="39">
        <v>0.0</v>
      </c>
      <c r="BG178" s="39">
        <v>0.0</v>
      </c>
      <c r="BH178" s="48"/>
      <c r="BI178" s="47"/>
    </row>
    <row r="179">
      <c r="A179" s="38">
        <f t="shared" si="1"/>
        <v>45983</v>
      </c>
      <c r="B179" s="39">
        <v>23.0</v>
      </c>
      <c r="C179" s="39" t="s">
        <v>1791</v>
      </c>
      <c r="D179" s="39">
        <v>1.0</v>
      </c>
      <c r="E179" s="39">
        <v>2.654383469E9</v>
      </c>
      <c r="F179" s="39" t="s">
        <v>100</v>
      </c>
      <c r="G179" s="39" t="s">
        <v>1792</v>
      </c>
      <c r="H179" s="39" t="s">
        <v>1793</v>
      </c>
      <c r="I179" s="40">
        <v>45983.0</v>
      </c>
      <c r="J179" s="40">
        <v>45985.0</v>
      </c>
      <c r="K179" s="40">
        <v>45986.0</v>
      </c>
      <c r="L179" s="48"/>
      <c r="M179" s="48"/>
      <c r="N179" s="48"/>
      <c r="O179" s="39">
        <v>8.715578135E9</v>
      </c>
      <c r="P179" s="39" t="s">
        <v>1258</v>
      </c>
      <c r="Q179" s="39" t="s">
        <v>1259</v>
      </c>
      <c r="R179" s="39">
        <v>1.0</v>
      </c>
      <c r="S179" s="39">
        <v>93695.0</v>
      </c>
      <c r="T179" s="39">
        <v>109000.0</v>
      </c>
      <c r="U179" s="39">
        <v>0.0</v>
      </c>
      <c r="V179" s="39">
        <v>15305.0</v>
      </c>
      <c r="W179" s="39">
        <v>0.0</v>
      </c>
      <c r="X179" s="39">
        <v>109000.0</v>
      </c>
      <c r="Y179" s="39">
        <v>0.0</v>
      </c>
      <c r="Z179" s="39">
        <v>0.0</v>
      </c>
      <c r="AA179" s="39">
        <v>0.0</v>
      </c>
      <c r="AB179" s="39">
        <v>0.0</v>
      </c>
      <c r="AC179" s="39">
        <v>0.0</v>
      </c>
      <c r="AD179" s="39">
        <v>0.0</v>
      </c>
      <c r="AE179" s="39">
        <v>0.0</v>
      </c>
      <c r="AF179" s="39">
        <v>0.0</v>
      </c>
      <c r="AG179" s="39">
        <v>0.0</v>
      </c>
      <c r="AH179" s="39">
        <v>0.0</v>
      </c>
      <c r="AI179" s="39">
        <v>0.0</v>
      </c>
      <c r="AJ179" s="39">
        <v>0.0</v>
      </c>
      <c r="AK179" s="48"/>
      <c r="AL179" s="39">
        <v>5.30641790741E11</v>
      </c>
      <c r="AM179" s="39" t="s">
        <v>1209</v>
      </c>
      <c r="AN179" s="42">
        <v>0.09</v>
      </c>
      <c r="AO179" s="43">
        <v>5450.0</v>
      </c>
      <c r="AP179" s="39">
        <v>0.0</v>
      </c>
      <c r="AQ179" s="39">
        <v>0.0</v>
      </c>
      <c r="AR179" s="39">
        <v>0.0</v>
      </c>
      <c r="AS179" s="39">
        <v>5450.0</v>
      </c>
      <c r="AT179" s="39">
        <v>0.0</v>
      </c>
      <c r="AU179" s="39">
        <v>5450.0</v>
      </c>
      <c r="AV179" s="39">
        <v>0.0</v>
      </c>
      <c r="AW179" s="39">
        <v>0.0</v>
      </c>
      <c r="AX179" s="39">
        <v>0.0</v>
      </c>
      <c r="AY179" s="39">
        <v>0.0</v>
      </c>
      <c r="AZ179" s="39">
        <v>0.0</v>
      </c>
      <c r="BA179" s="39">
        <v>0.0</v>
      </c>
      <c r="BB179" s="39">
        <v>0.0</v>
      </c>
      <c r="BC179" s="39">
        <v>4405.0</v>
      </c>
      <c r="BD179" s="39">
        <v>0.0</v>
      </c>
      <c r="BE179" s="39">
        <v>0.0</v>
      </c>
      <c r="BF179" s="39">
        <v>0.0</v>
      </c>
      <c r="BG179" s="39">
        <v>0.0</v>
      </c>
      <c r="BH179" s="48"/>
      <c r="BI179" s="47"/>
    </row>
    <row r="180">
      <c r="A180" s="38">
        <f t="shared" si="1"/>
        <v>45983</v>
      </c>
      <c r="B180" s="39">
        <v>24.0</v>
      </c>
      <c r="C180" s="39" t="s">
        <v>1794</v>
      </c>
      <c r="D180" s="39">
        <v>1.0</v>
      </c>
      <c r="E180" s="39">
        <v>2.654402567E9</v>
      </c>
      <c r="F180" s="39" t="s">
        <v>100</v>
      </c>
      <c r="G180" s="39" t="s">
        <v>1795</v>
      </c>
      <c r="H180" s="39" t="s">
        <v>1796</v>
      </c>
      <c r="I180" s="40">
        <v>45983.0</v>
      </c>
      <c r="J180" s="40">
        <v>45985.0</v>
      </c>
      <c r="K180" s="40">
        <v>45987.0</v>
      </c>
      <c r="L180" s="48"/>
      <c r="M180" s="48"/>
      <c r="N180" s="48"/>
      <c r="O180" s="39">
        <v>6.217732715E9</v>
      </c>
      <c r="P180" s="39" t="s">
        <v>55</v>
      </c>
      <c r="Q180" s="39" t="s">
        <v>1547</v>
      </c>
      <c r="R180" s="39">
        <v>2.0</v>
      </c>
      <c r="S180" s="39">
        <v>80936.0</v>
      </c>
      <c r="T180" s="39">
        <v>96000.0</v>
      </c>
      <c r="U180" s="39">
        <v>0.0</v>
      </c>
      <c r="V180" s="39">
        <v>15064.0</v>
      </c>
      <c r="W180" s="39">
        <v>0.0</v>
      </c>
      <c r="X180" s="39">
        <v>96000.0</v>
      </c>
      <c r="Y180" s="39">
        <v>0.0</v>
      </c>
      <c r="Z180" s="39">
        <v>0.0</v>
      </c>
      <c r="AA180" s="39">
        <v>0.0</v>
      </c>
      <c r="AB180" s="39">
        <v>0.0</v>
      </c>
      <c r="AC180" s="39">
        <v>0.0</v>
      </c>
      <c r="AD180" s="39">
        <v>0.0</v>
      </c>
      <c r="AE180" s="39">
        <v>0.0</v>
      </c>
      <c r="AF180" s="39">
        <v>0.0</v>
      </c>
      <c r="AG180" s="39">
        <v>0.0</v>
      </c>
      <c r="AH180" s="39">
        <v>0.0</v>
      </c>
      <c r="AI180" s="39">
        <v>0.0</v>
      </c>
      <c r="AJ180" s="39">
        <v>0.0</v>
      </c>
      <c r="AK180" s="48"/>
      <c r="AL180" s="39">
        <v>4.60912410556E11</v>
      </c>
      <c r="AM180" s="39" t="s">
        <v>1209</v>
      </c>
      <c r="AN180" s="42">
        <v>0.09</v>
      </c>
      <c r="AO180" s="43">
        <v>8624.0</v>
      </c>
      <c r="AP180" s="39">
        <v>0.0</v>
      </c>
      <c r="AQ180" s="39">
        <v>0.0</v>
      </c>
      <c r="AR180" s="39">
        <v>0.0</v>
      </c>
      <c r="AS180" s="39">
        <v>2220.0</v>
      </c>
      <c r="AT180" s="39">
        <v>2200.0</v>
      </c>
      <c r="AU180" s="39">
        <v>20.0</v>
      </c>
      <c r="AV180" s="39">
        <v>0.0</v>
      </c>
      <c r="AW180" s="39">
        <v>4000.0</v>
      </c>
      <c r="AX180" s="39">
        <v>0.0</v>
      </c>
      <c r="AY180" s="39">
        <v>0.0</v>
      </c>
      <c r="AZ180" s="39">
        <v>0.0</v>
      </c>
      <c r="BA180" s="39">
        <v>0.0</v>
      </c>
      <c r="BB180" s="39">
        <v>0.0</v>
      </c>
      <c r="BC180" s="39">
        <v>220.0</v>
      </c>
      <c r="BD180" s="39">
        <v>0.0</v>
      </c>
      <c r="BE180" s="39">
        <v>0.0</v>
      </c>
      <c r="BF180" s="39">
        <v>0.0</v>
      </c>
      <c r="BG180" s="39">
        <v>0.0</v>
      </c>
      <c r="BH180" s="48"/>
      <c r="BI180" s="47"/>
    </row>
    <row r="181">
      <c r="A181" s="38">
        <f t="shared" si="1"/>
        <v>45983</v>
      </c>
      <c r="B181" s="39">
        <v>25.0</v>
      </c>
      <c r="C181" s="39" t="s">
        <v>1797</v>
      </c>
      <c r="D181" s="39">
        <v>1.0</v>
      </c>
      <c r="E181" s="39">
        <v>2.654405783E9</v>
      </c>
      <c r="F181" s="39" t="s">
        <v>100</v>
      </c>
      <c r="G181" s="39" t="s">
        <v>1798</v>
      </c>
      <c r="H181" s="39" t="s">
        <v>1799</v>
      </c>
      <c r="I181" s="40">
        <v>45983.0</v>
      </c>
      <c r="J181" s="40">
        <v>45985.0</v>
      </c>
      <c r="K181" s="40">
        <v>45986.0</v>
      </c>
      <c r="L181" s="48"/>
      <c r="M181" s="48"/>
      <c r="N181" s="48"/>
      <c r="O181" s="39">
        <v>6.198835482E9</v>
      </c>
      <c r="P181" s="39" t="s">
        <v>1624</v>
      </c>
      <c r="Q181" s="39" t="s">
        <v>1219</v>
      </c>
      <c r="R181" s="39">
        <v>1.0</v>
      </c>
      <c r="S181" s="39">
        <v>29169.0</v>
      </c>
      <c r="T181" s="39">
        <v>35000.0</v>
      </c>
      <c r="U181" s="39">
        <v>0.0</v>
      </c>
      <c r="V181" s="39">
        <v>5831.0</v>
      </c>
      <c r="W181" s="39">
        <v>0.0</v>
      </c>
      <c r="X181" s="39">
        <v>35000.0</v>
      </c>
      <c r="Y181" s="39">
        <v>0.0</v>
      </c>
      <c r="Z181" s="39">
        <v>0.0</v>
      </c>
      <c r="AA181" s="39">
        <v>0.0</v>
      </c>
      <c r="AB181" s="39">
        <v>0.0</v>
      </c>
      <c r="AC181" s="39">
        <v>0.0</v>
      </c>
      <c r="AD181" s="39">
        <v>0.0</v>
      </c>
      <c r="AE181" s="39">
        <v>0.0</v>
      </c>
      <c r="AF181" s="39">
        <v>0.0</v>
      </c>
      <c r="AG181" s="39">
        <v>0.0</v>
      </c>
      <c r="AH181" s="39">
        <v>0.0</v>
      </c>
      <c r="AI181" s="39">
        <v>0.0</v>
      </c>
      <c r="AJ181" s="39">
        <v>0.0</v>
      </c>
      <c r="AK181" s="48"/>
      <c r="AL181" s="39">
        <v>4.6091241056E11</v>
      </c>
      <c r="AM181" s="39" t="s">
        <v>1209</v>
      </c>
      <c r="AN181" s="42">
        <v>0.09</v>
      </c>
      <c r="AO181" s="43">
        <v>3150.0</v>
      </c>
      <c r="AP181" s="39">
        <v>0.0</v>
      </c>
      <c r="AQ181" s="39">
        <v>0.0</v>
      </c>
      <c r="AR181" s="39">
        <v>0.0</v>
      </c>
      <c r="AS181" s="39">
        <v>2100.0</v>
      </c>
      <c r="AT181" s="39">
        <v>2100.0</v>
      </c>
      <c r="AU181" s="39">
        <v>0.0</v>
      </c>
      <c r="AV181" s="39">
        <v>0.0</v>
      </c>
      <c r="AW181" s="39">
        <v>0.0</v>
      </c>
      <c r="AX181" s="39">
        <v>0.0</v>
      </c>
      <c r="AY181" s="39">
        <v>0.0</v>
      </c>
      <c r="AZ181" s="39">
        <v>0.0</v>
      </c>
      <c r="BA181" s="39">
        <v>0.0</v>
      </c>
      <c r="BB181" s="39">
        <v>0.0</v>
      </c>
      <c r="BC181" s="39">
        <v>581.0</v>
      </c>
      <c r="BD181" s="39">
        <v>0.0</v>
      </c>
      <c r="BE181" s="39">
        <v>0.0</v>
      </c>
      <c r="BF181" s="39">
        <v>0.0</v>
      </c>
      <c r="BG181" s="39">
        <v>0.0</v>
      </c>
      <c r="BH181" s="48"/>
      <c r="BI181" s="47"/>
    </row>
    <row r="182">
      <c r="A182" s="38">
        <f t="shared" si="1"/>
        <v>45983</v>
      </c>
      <c r="B182" s="39">
        <v>26.0</v>
      </c>
      <c r="C182" s="39" t="s">
        <v>1800</v>
      </c>
      <c r="D182" s="39">
        <v>1.0</v>
      </c>
      <c r="E182" s="39">
        <v>2.654408817E9</v>
      </c>
      <c r="F182" s="39" t="s">
        <v>100</v>
      </c>
      <c r="G182" s="39" t="s">
        <v>1801</v>
      </c>
      <c r="H182" s="39" t="s">
        <v>1802</v>
      </c>
      <c r="I182" s="40">
        <v>45983.0</v>
      </c>
      <c r="J182" s="40">
        <v>45985.0</v>
      </c>
      <c r="K182" s="40">
        <v>45986.0</v>
      </c>
      <c r="L182" s="48"/>
      <c r="M182" s="48"/>
      <c r="N182" s="48"/>
      <c r="O182" s="39">
        <v>5.370879772E9</v>
      </c>
      <c r="P182" s="39" t="s">
        <v>1246</v>
      </c>
      <c r="Q182" s="39" t="s">
        <v>1353</v>
      </c>
      <c r="R182" s="39">
        <v>1.0</v>
      </c>
      <c r="S182" s="39">
        <v>29250.0</v>
      </c>
      <c r="T182" s="39">
        <v>33000.0</v>
      </c>
      <c r="U182" s="39">
        <v>0.0</v>
      </c>
      <c r="V182" s="39">
        <v>3750.0</v>
      </c>
      <c r="W182" s="39">
        <v>0.0</v>
      </c>
      <c r="X182" s="39">
        <v>33000.0</v>
      </c>
      <c r="Y182" s="39">
        <v>0.0</v>
      </c>
      <c r="Z182" s="39">
        <v>0.0</v>
      </c>
      <c r="AA182" s="39">
        <v>0.0</v>
      </c>
      <c r="AB182" s="39">
        <v>0.0</v>
      </c>
      <c r="AC182" s="39">
        <v>0.0</v>
      </c>
      <c r="AD182" s="39">
        <v>0.0</v>
      </c>
      <c r="AE182" s="39">
        <v>0.0</v>
      </c>
      <c r="AF182" s="39">
        <v>0.0</v>
      </c>
      <c r="AG182" s="39">
        <v>0.0</v>
      </c>
      <c r="AH182" s="39">
        <v>0.0</v>
      </c>
      <c r="AI182" s="39">
        <v>0.0</v>
      </c>
      <c r="AJ182" s="39">
        <v>0.0</v>
      </c>
      <c r="AK182" s="48"/>
      <c r="AL182" s="39">
        <v>4.60912410571E11</v>
      </c>
      <c r="AM182" s="39" t="s">
        <v>1209</v>
      </c>
      <c r="AN182" s="42">
        <v>0.09</v>
      </c>
      <c r="AO182" s="43">
        <v>1130.0</v>
      </c>
      <c r="AP182" s="39">
        <v>0.0</v>
      </c>
      <c r="AQ182" s="39">
        <v>0.0</v>
      </c>
      <c r="AR182" s="39">
        <v>0.0</v>
      </c>
      <c r="AS182" s="39">
        <v>2400.0</v>
      </c>
      <c r="AT182" s="39">
        <v>100.0</v>
      </c>
      <c r="AU182" s="39">
        <v>2300.0</v>
      </c>
      <c r="AV182" s="39">
        <v>0.0</v>
      </c>
      <c r="AW182" s="39">
        <v>0.0</v>
      </c>
      <c r="AX182" s="39">
        <v>0.0</v>
      </c>
      <c r="AY182" s="39">
        <v>0.0</v>
      </c>
      <c r="AZ182" s="39">
        <v>0.0</v>
      </c>
      <c r="BA182" s="39">
        <v>0.0</v>
      </c>
      <c r="BB182" s="39">
        <v>0.0</v>
      </c>
      <c r="BC182" s="39">
        <v>220.0</v>
      </c>
      <c r="BD182" s="39">
        <v>0.0</v>
      </c>
      <c r="BE182" s="39">
        <v>0.0</v>
      </c>
      <c r="BF182" s="39">
        <v>0.0</v>
      </c>
      <c r="BG182" s="39">
        <v>0.0</v>
      </c>
      <c r="BH182" s="48"/>
      <c r="BI182" s="47"/>
    </row>
    <row r="183">
      <c r="A183" s="38">
        <f t="shared" si="1"/>
        <v>45983</v>
      </c>
      <c r="B183" s="39">
        <v>27.0</v>
      </c>
      <c r="C183" s="39" t="s">
        <v>1803</v>
      </c>
      <c r="D183" s="39">
        <v>1.0</v>
      </c>
      <c r="E183" s="39">
        <v>2.654462034E9</v>
      </c>
      <c r="F183" s="39" t="s">
        <v>100</v>
      </c>
      <c r="G183" s="39" t="s">
        <v>1804</v>
      </c>
      <c r="H183" s="39" t="s">
        <v>1805</v>
      </c>
      <c r="I183" s="40">
        <v>45983.0</v>
      </c>
      <c r="J183" s="40">
        <v>45985.0</v>
      </c>
      <c r="K183" s="40">
        <v>45987.0</v>
      </c>
      <c r="L183" s="48"/>
      <c r="M183" s="48"/>
      <c r="N183" s="48"/>
      <c r="O183" s="39">
        <v>4.232257167E9</v>
      </c>
      <c r="P183" s="39" t="s">
        <v>1620</v>
      </c>
      <c r="Q183" s="39" t="s">
        <v>1208</v>
      </c>
      <c r="R183" s="39">
        <v>1.0</v>
      </c>
      <c r="S183" s="39">
        <v>13514.0</v>
      </c>
      <c r="T183" s="39">
        <v>39900.0</v>
      </c>
      <c r="U183" s="39">
        <v>0.0</v>
      </c>
      <c r="V183" s="39">
        <v>26386.0</v>
      </c>
      <c r="W183" s="39">
        <v>13514.0</v>
      </c>
      <c r="X183" s="39">
        <v>39900.0</v>
      </c>
      <c r="Y183" s="39">
        <v>0.0</v>
      </c>
      <c r="Z183" s="39">
        <v>0.0</v>
      </c>
      <c r="AA183" s="39">
        <v>0.0</v>
      </c>
      <c r="AB183" s="39">
        <v>0.0</v>
      </c>
      <c r="AC183" s="39">
        <v>0.0</v>
      </c>
      <c r="AD183" s="39">
        <v>0.0</v>
      </c>
      <c r="AE183" s="39">
        <v>0.0</v>
      </c>
      <c r="AF183" s="39">
        <v>0.0</v>
      </c>
      <c r="AG183" s="39">
        <v>0.0</v>
      </c>
      <c r="AH183" s="39">
        <v>0.0</v>
      </c>
      <c r="AI183" s="39">
        <v>0.0</v>
      </c>
      <c r="AJ183" s="39">
        <v>0.0</v>
      </c>
      <c r="AK183" s="48"/>
      <c r="AL183" s="39">
        <v>4.60912410604E11</v>
      </c>
      <c r="AM183" s="39" t="s">
        <v>1209</v>
      </c>
      <c r="AN183" s="42">
        <v>0.13</v>
      </c>
      <c r="AO183" s="43">
        <v>5187.0</v>
      </c>
      <c r="AP183" s="39">
        <v>0.0</v>
      </c>
      <c r="AQ183" s="39">
        <v>0.0</v>
      </c>
      <c r="AR183" s="39">
        <v>0.0</v>
      </c>
      <c r="AS183" s="39">
        <v>20000.0</v>
      </c>
      <c r="AT183" s="39">
        <v>20000.0</v>
      </c>
      <c r="AU183" s="39">
        <v>0.0</v>
      </c>
      <c r="AV183" s="39">
        <v>0.0</v>
      </c>
      <c r="AW183" s="39">
        <v>0.0</v>
      </c>
      <c r="AX183" s="39">
        <v>0.0</v>
      </c>
      <c r="AY183" s="39">
        <v>0.0</v>
      </c>
      <c r="AZ183" s="39">
        <v>0.0</v>
      </c>
      <c r="BA183" s="39">
        <v>0.0</v>
      </c>
      <c r="BB183" s="39">
        <v>0.0</v>
      </c>
      <c r="BC183" s="39">
        <v>1199.0</v>
      </c>
      <c r="BD183" s="39">
        <v>0.0</v>
      </c>
      <c r="BE183" s="39">
        <v>0.0</v>
      </c>
      <c r="BF183" s="39">
        <v>0.0</v>
      </c>
      <c r="BG183" s="39">
        <v>0.0</v>
      </c>
      <c r="BH183" s="48"/>
      <c r="BI183" s="47"/>
    </row>
    <row r="184">
      <c r="A184" s="38">
        <f t="shared" si="1"/>
        <v>45983</v>
      </c>
      <c r="B184" s="39">
        <v>28.0</v>
      </c>
      <c r="C184" s="39" t="s">
        <v>1806</v>
      </c>
      <c r="D184" s="39">
        <v>1.0</v>
      </c>
      <c r="E184" s="39">
        <v>2.654479143E9</v>
      </c>
      <c r="F184" s="39" t="s">
        <v>100</v>
      </c>
      <c r="G184" s="39" t="s">
        <v>1807</v>
      </c>
      <c r="H184" s="39" t="s">
        <v>1808</v>
      </c>
      <c r="I184" s="40">
        <v>45983.0</v>
      </c>
      <c r="J184" s="40">
        <v>45985.0</v>
      </c>
      <c r="K184" s="40">
        <v>45986.0</v>
      </c>
      <c r="L184" s="48"/>
      <c r="M184" s="48"/>
      <c r="N184" s="48"/>
      <c r="O184" s="39">
        <v>8.715578135E9</v>
      </c>
      <c r="P184" s="39" t="s">
        <v>1258</v>
      </c>
      <c r="Q184" s="39" t="s">
        <v>1259</v>
      </c>
      <c r="R184" s="39">
        <v>1.0</v>
      </c>
      <c r="S184" s="39">
        <v>92790.0</v>
      </c>
      <c r="T184" s="39">
        <v>109000.0</v>
      </c>
      <c r="U184" s="39">
        <v>0.0</v>
      </c>
      <c r="V184" s="39">
        <v>16210.0</v>
      </c>
      <c r="W184" s="39">
        <v>0.0</v>
      </c>
      <c r="X184" s="39">
        <v>109000.0</v>
      </c>
      <c r="Y184" s="39">
        <v>0.0</v>
      </c>
      <c r="Z184" s="39">
        <v>0.0</v>
      </c>
      <c r="AA184" s="39">
        <v>0.0</v>
      </c>
      <c r="AB184" s="39">
        <v>0.0</v>
      </c>
      <c r="AC184" s="39">
        <v>0.0</v>
      </c>
      <c r="AD184" s="39">
        <v>0.0</v>
      </c>
      <c r="AE184" s="39">
        <v>0.0</v>
      </c>
      <c r="AF184" s="39">
        <v>0.0</v>
      </c>
      <c r="AG184" s="39">
        <v>0.0</v>
      </c>
      <c r="AH184" s="39">
        <v>0.0</v>
      </c>
      <c r="AI184" s="39">
        <v>0.0</v>
      </c>
      <c r="AJ184" s="39">
        <v>0.0</v>
      </c>
      <c r="AK184" s="48"/>
      <c r="AL184" s="39">
        <v>5.30641790715E11</v>
      </c>
      <c r="AM184" s="39" t="s">
        <v>1209</v>
      </c>
      <c r="AN184" s="42">
        <v>0.09</v>
      </c>
      <c r="AO184" s="43">
        <v>5410.0</v>
      </c>
      <c r="AP184" s="39">
        <v>0.0</v>
      </c>
      <c r="AQ184" s="39">
        <v>0.0</v>
      </c>
      <c r="AR184" s="39">
        <v>0.0</v>
      </c>
      <c r="AS184" s="39">
        <v>7500.0</v>
      </c>
      <c r="AT184" s="39">
        <v>2000.0</v>
      </c>
      <c r="AU184" s="39">
        <v>5500.0</v>
      </c>
      <c r="AV184" s="39">
        <v>0.0</v>
      </c>
      <c r="AW184" s="39">
        <v>0.0</v>
      </c>
      <c r="AX184" s="39">
        <v>0.0</v>
      </c>
      <c r="AY184" s="39">
        <v>0.0</v>
      </c>
      <c r="AZ184" s="39">
        <v>0.0</v>
      </c>
      <c r="BA184" s="39">
        <v>0.0</v>
      </c>
      <c r="BB184" s="39">
        <v>0.0</v>
      </c>
      <c r="BC184" s="39">
        <v>3300.0</v>
      </c>
      <c r="BD184" s="39">
        <v>0.0</v>
      </c>
      <c r="BE184" s="39">
        <v>0.0</v>
      </c>
      <c r="BF184" s="39">
        <v>0.0</v>
      </c>
      <c r="BG184" s="39">
        <v>0.0</v>
      </c>
      <c r="BH184" s="48"/>
      <c r="BI184" s="47"/>
    </row>
    <row r="185">
      <c r="A185" s="38">
        <f t="shared" si="1"/>
        <v>45984</v>
      </c>
      <c r="B185" s="39">
        <v>29.0</v>
      </c>
      <c r="C185" s="39" t="s">
        <v>1809</v>
      </c>
      <c r="D185" s="39">
        <v>1.0</v>
      </c>
      <c r="E185" s="39">
        <v>2.654521518E9</v>
      </c>
      <c r="F185" s="39" t="s">
        <v>100</v>
      </c>
      <c r="G185" s="39" t="s">
        <v>1810</v>
      </c>
      <c r="H185" s="39" t="s">
        <v>1811</v>
      </c>
      <c r="I185" s="40">
        <v>45984.0</v>
      </c>
      <c r="J185" s="40">
        <v>45985.0</v>
      </c>
      <c r="K185" s="40">
        <v>45986.0</v>
      </c>
      <c r="L185" s="48"/>
      <c r="M185" s="48"/>
      <c r="N185" s="48"/>
      <c r="O185" s="39">
        <v>8.718781954E9</v>
      </c>
      <c r="P185" s="39" t="s">
        <v>1287</v>
      </c>
      <c r="Q185" s="39" t="s">
        <v>1259</v>
      </c>
      <c r="R185" s="39">
        <v>1.0</v>
      </c>
      <c r="S185" s="39">
        <v>105003.0</v>
      </c>
      <c r="T185" s="39">
        <v>119000.0</v>
      </c>
      <c r="U185" s="39">
        <v>0.0</v>
      </c>
      <c r="V185" s="39">
        <v>13997.0</v>
      </c>
      <c r="W185" s="39">
        <v>0.0</v>
      </c>
      <c r="X185" s="39">
        <v>119000.0</v>
      </c>
      <c r="Y185" s="39">
        <v>0.0</v>
      </c>
      <c r="Z185" s="39">
        <v>0.0</v>
      </c>
      <c r="AA185" s="39">
        <v>0.0</v>
      </c>
      <c r="AB185" s="39">
        <v>0.0</v>
      </c>
      <c r="AC185" s="39">
        <v>0.0</v>
      </c>
      <c r="AD185" s="39">
        <v>0.0</v>
      </c>
      <c r="AE185" s="39">
        <v>0.0</v>
      </c>
      <c r="AF185" s="39">
        <v>0.0</v>
      </c>
      <c r="AG185" s="39">
        <v>0.0</v>
      </c>
      <c r="AH185" s="39">
        <v>0.0</v>
      </c>
      <c r="AI185" s="39">
        <v>0.0</v>
      </c>
      <c r="AJ185" s="39">
        <v>0.0</v>
      </c>
      <c r="AK185" s="48"/>
      <c r="AL185" s="39">
        <v>5.30641790645E11</v>
      </c>
      <c r="AM185" s="39" t="s">
        <v>1209</v>
      </c>
      <c r="AN185" s="42">
        <v>0.09</v>
      </c>
      <c r="AO185" s="43">
        <v>10710.0</v>
      </c>
      <c r="AP185" s="39">
        <v>0.0</v>
      </c>
      <c r="AQ185" s="39">
        <v>0.0</v>
      </c>
      <c r="AR185" s="39">
        <v>0.0</v>
      </c>
      <c r="AS185" s="39">
        <v>2000.0</v>
      </c>
      <c r="AT185" s="39">
        <v>2000.0</v>
      </c>
      <c r="AU185" s="39">
        <v>0.0</v>
      </c>
      <c r="AV185" s="39">
        <v>0.0</v>
      </c>
      <c r="AW185" s="39">
        <v>0.0</v>
      </c>
      <c r="AX185" s="39">
        <v>0.0</v>
      </c>
      <c r="AY185" s="39">
        <v>0.0</v>
      </c>
      <c r="AZ185" s="39">
        <v>0.0</v>
      </c>
      <c r="BA185" s="39">
        <v>0.0</v>
      </c>
      <c r="BB185" s="39">
        <v>0.0</v>
      </c>
      <c r="BC185" s="39">
        <v>1287.0</v>
      </c>
      <c r="BD185" s="39">
        <v>0.0</v>
      </c>
      <c r="BE185" s="39">
        <v>0.0</v>
      </c>
      <c r="BF185" s="39">
        <v>0.0</v>
      </c>
      <c r="BG185" s="39">
        <v>0.0</v>
      </c>
      <c r="BH185" s="48"/>
      <c r="BI185" s="47"/>
    </row>
    <row r="186">
      <c r="A186" s="38">
        <f t="shared" si="1"/>
        <v>45984</v>
      </c>
      <c r="B186" s="39">
        <v>30.0</v>
      </c>
      <c r="C186" s="39">
        <v>2.02511230170879E16</v>
      </c>
      <c r="D186" s="39">
        <v>2.0</v>
      </c>
      <c r="E186" s="39">
        <v>2.654547973E9</v>
      </c>
      <c r="F186" s="39" t="s">
        <v>100</v>
      </c>
      <c r="G186" s="39" t="s">
        <v>1812</v>
      </c>
      <c r="H186" s="39" t="s">
        <v>1813</v>
      </c>
      <c r="I186" s="40">
        <v>45984.0</v>
      </c>
      <c r="J186" s="40">
        <v>45985.0</v>
      </c>
      <c r="K186" s="40">
        <v>45987.0</v>
      </c>
      <c r="L186" s="48"/>
      <c r="M186" s="48"/>
      <c r="N186" s="48"/>
      <c r="O186" s="39">
        <v>8.718794512E9</v>
      </c>
      <c r="P186" s="39" t="s">
        <v>1551</v>
      </c>
      <c r="Q186" s="39" t="s">
        <v>1259</v>
      </c>
      <c r="R186" s="39">
        <v>1.0</v>
      </c>
      <c r="S186" s="39">
        <v>130355.0</v>
      </c>
      <c r="T186" s="39">
        <v>145000.0</v>
      </c>
      <c r="U186" s="39">
        <v>0.0</v>
      </c>
      <c r="V186" s="39">
        <v>14645.0</v>
      </c>
      <c r="W186" s="39">
        <v>0.0</v>
      </c>
      <c r="X186" s="39">
        <v>145000.0</v>
      </c>
      <c r="Y186" s="39">
        <v>0.0</v>
      </c>
      <c r="Z186" s="39">
        <v>0.0</v>
      </c>
      <c r="AA186" s="39">
        <v>0.0</v>
      </c>
      <c r="AB186" s="39">
        <v>0.0</v>
      </c>
      <c r="AC186" s="39">
        <v>0.0</v>
      </c>
      <c r="AD186" s="39">
        <v>0.0</v>
      </c>
      <c r="AE186" s="39">
        <v>0.0</v>
      </c>
      <c r="AF186" s="39">
        <v>0.0</v>
      </c>
      <c r="AG186" s="39">
        <v>0.0</v>
      </c>
      <c r="AH186" s="39">
        <v>0.0</v>
      </c>
      <c r="AI186" s="39">
        <v>0.0</v>
      </c>
      <c r="AJ186" s="39">
        <v>0.0</v>
      </c>
      <c r="AK186" s="48"/>
      <c r="AL186" s="39">
        <v>5.30641790682E11</v>
      </c>
      <c r="AM186" s="39" t="s">
        <v>1209</v>
      </c>
      <c r="AN186" s="42">
        <v>0.09</v>
      </c>
      <c r="AO186" s="43">
        <v>13050.0</v>
      </c>
      <c r="AP186" s="39">
        <v>0.0</v>
      </c>
      <c r="AQ186" s="39">
        <v>0.0</v>
      </c>
      <c r="AR186" s="39">
        <v>0.0</v>
      </c>
      <c r="AS186" s="39">
        <v>0.0</v>
      </c>
      <c r="AT186" s="39">
        <v>0.0</v>
      </c>
      <c r="AU186" s="39">
        <v>0.0</v>
      </c>
      <c r="AV186" s="39">
        <v>0.0</v>
      </c>
      <c r="AW186" s="39">
        <v>0.0</v>
      </c>
      <c r="AX186" s="39">
        <v>0.0</v>
      </c>
      <c r="AY186" s="39">
        <v>0.0</v>
      </c>
      <c r="AZ186" s="39">
        <v>0.0</v>
      </c>
      <c r="BA186" s="39">
        <v>0.0</v>
      </c>
      <c r="BB186" s="39">
        <v>0.0</v>
      </c>
      <c r="BC186" s="39">
        <v>1595.0</v>
      </c>
      <c r="BD186" s="39">
        <v>0.0</v>
      </c>
      <c r="BE186" s="39">
        <v>0.0</v>
      </c>
      <c r="BF186" s="39">
        <v>0.0</v>
      </c>
      <c r="BG186" s="39">
        <v>0.0</v>
      </c>
      <c r="BH186" s="48"/>
      <c r="BI186" s="47"/>
    </row>
    <row r="187">
      <c r="A187" s="38">
        <f t="shared" si="1"/>
        <v>45985</v>
      </c>
      <c r="B187" s="39">
        <v>31.0</v>
      </c>
      <c r="C187" s="39" t="s">
        <v>1814</v>
      </c>
      <c r="D187" s="39">
        <v>8.0</v>
      </c>
      <c r="E187" s="39">
        <v>2.654875902E9</v>
      </c>
      <c r="F187" s="39" t="s">
        <v>100</v>
      </c>
      <c r="G187" s="39" t="s">
        <v>1815</v>
      </c>
      <c r="H187" s="39" t="s">
        <v>1813</v>
      </c>
      <c r="I187" s="40">
        <v>45985.0</v>
      </c>
      <c r="J187" s="40">
        <v>45986.0</v>
      </c>
      <c r="K187" s="40">
        <v>45987.0</v>
      </c>
      <c r="L187" s="48"/>
      <c r="M187" s="48"/>
      <c r="N187" s="48"/>
      <c r="O187" s="39">
        <v>6.198835482E9</v>
      </c>
      <c r="P187" s="39" t="s">
        <v>1624</v>
      </c>
      <c r="Q187" s="39" t="s">
        <v>1219</v>
      </c>
      <c r="R187" s="39">
        <v>1.0</v>
      </c>
      <c r="S187" s="39">
        <v>31640.0</v>
      </c>
      <c r="T187" s="39">
        <v>35000.0</v>
      </c>
      <c r="U187" s="39">
        <v>0.0</v>
      </c>
      <c r="V187" s="39">
        <v>3360.0</v>
      </c>
      <c r="W187" s="39">
        <v>0.0</v>
      </c>
      <c r="X187" s="39">
        <v>35000.0</v>
      </c>
      <c r="Y187" s="39">
        <v>0.0</v>
      </c>
      <c r="Z187" s="39">
        <v>0.0</v>
      </c>
      <c r="AA187" s="39">
        <v>0.0</v>
      </c>
      <c r="AB187" s="39">
        <v>0.0</v>
      </c>
      <c r="AC187" s="39">
        <v>0.0</v>
      </c>
      <c r="AD187" s="39">
        <v>0.0</v>
      </c>
      <c r="AE187" s="39">
        <v>0.0</v>
      </c>
      <c r="AF187" s="39">
        <v>0.0</v>
      </c>
      <c r="AG187" s="39">
        <v>0.0</v>
      </c>
      <c r="AH187" s="39">
        <v>0.0</v>
      </c>
      <c r="AI187" s="39">
        <v>0.0</v>
      </c>
      <c r="AJ187" s="39">
        <v>0.0</v>
      </c>
      <c r="AK187" s="48"/>
      <c r="AL187" s="39">
        <v>4.60927219362E11</v>
      </c>
      <c r="AM187" s="39" t="s">
        <v>1209</v>
      </c>
      <c r="AN187" s="42">
        <v>0.09</v>
      </c>
      <c r="AO187" s="43">
        <v>3150.0</v>
      </c>
      <c r="AP187" s="39">
        <v>0.0</v>
      </c>
      <c r="AQ187" s="39">
        <v>0.0</v>
      </c>
      <c r="AR187" s="39">
        <v>0.0</v>
      </c>
      <c r="AS187" s="39">
        <v>100.0</v>
      </c>
      <c r="AT187" s="39">
        <v>100.0</v>
      </c>
      <c r="AU187" s="39">
        <v>0.0</v>
      </c>
      <c r="AV187" s="39">
        <v>0.0</v>
      </c>
      <c r="AW187" s="39">
        <v>0.0</v>
      </c>
      <c r="AX187" s="39">
        <v>0.0</v>
      </c>
      <c r="AY187" s="39">
        <v>0.0</v>
      </c>
      <c r="AZ187" s="39">
        <v>0.0</v>
      </c>
      <c r="BA187" s="39">
        <v>0.0</v>
      </c>
      <c r="BB187" s="39">
        <v>0.0</v>
      </c>
      <c r="BC187" s="39">
        <v>110.0</v>
      </c>
      <c r="BD187" s="39">
        <v>0.0</v>
      </c>
      <c r="BE187" s="39">
        <v>0.0</v>
      </c>
      <c r="BF187" s="39">
        <v>0.0</v>
      </c>
      <c r="BG187" s="39">
        <v>0.0</v>
      </c>
      <c r="BH187" s="48"/>
      <c r="BI187" s="47"/>
    </row>
    <row r="188">
      <c r="A188" s="38">
        <f t="shared" si="1"/>
        <v>45985</v>
      </c>
      <c r="B188" s="39">
        <v>32.0</v>
      </c>
      <c r="C188" s="39" t="s">
        <v>1816</v>
      </c>
      <c r="D188" s="39">
        <v>1.0</v>
      </c>
      <c r="E188" s="39">
        <v>2.654915686E9</v>
      </c>
      <c r="F188" s="39" t="s">
        <v>100</v>
      </c>
      <c r="G188" s="39" t="s">
        <v>1817</v>
      </c>
      <c r="H188" s="39" t="s">
        <v>1818</v>
      </c>
      <c r="I188" s="40">
        <v>45985.0</v>
      </c>
      <c r="J188" s="40">
        <v>45986.0</v>
      </c>
      <c r="K188" s="40">
        <v>45987.0</v>
      </c>
      <c r="L188" s="48"/>
      <c r="M188" s="48"/>
      <c r="N188" s="48"/>
      <c r="O188" s="39">
        <v>6.546161396E9</v>
      </c>
      <c r="P188" s="39" t="s">
        <v>1231</v>
      </c>
      <c r="Q188" s="39" t="s">
        <v>1236</v>
      </c>
      <c r="R188" s="39">
        <v>1.0</v>
      </c>
      <c r="S188" s="39">
        <v>13764.0</v>
      </c>
      <c r="T188" s="39">
        <v>18000.0</v>
      </c>
      <c r="U188" s="39">
        <v>0.0</v>
      </c>
      <c r="V188" s="39">
        <v>4236.0</v>
      </c>
      <c r="W188" s="39">
        <v>13764.0</v>
      </c>
      <c r="X188" s="39">
        <v>18000.0</v>
      </c>
      <c r="Y188" s="39">
        <v>0.0</v>
      </c>
      <c r="Z188" s="39">
        <v>0.0</v>
      </c>
      <c r="AA188" s="39">
        <v>0.0</v>
      </c>
      <c r="AB188" s="39">
        <v>0.0</v>
      </c>
      <c r="AC188" s="39">
        <v>0.0</v>
      </c>
      <c r="AD188" s="39">
        <v>0.0</v>
      </c>
      <c r="AE188" s="39">
        <v>0.0</v>
      </c>
      <c r="AF188" s="39">
        <v>0.0</v>
      </c>
      <c r="AG188" s="39">
        <v>0.0</v>
      </c>
      <c r="AH188" s="39">
        <v>0.0</v>
      </c>
      <c r="AI188" s="39">
        <v>0.0</v>
      </c>
      <c r="AJ188" s="39">
        <v>0.0</v>
      </c>
      <c r="AK188" s="48"/>
      <c r="AL188" s="39">
        <v>4.60927219384E11</v>
      </c>
      <c r="AM188" s="39" t="s">
        <v>1209</v>
      </c>
      <c r="AN188" s="42">
        <v>0.11</v>
      </c>
      <c r="AO188" s="43">
        <v>1124.0</v>
      </c>
      <c r="AP188" s="39">
        <v>0.0</v>
      </c>
      <c r="AQ188" s="39">
        <v>0.0</v>
      </c>
      <c r="AR188" s="39">
        <v>0.0</v>
      </c>
      <c r="AS188" s="39">
        <v>2780.0</v>
      </c>
      <c r="AT188" s="39">
        <v>1710.0</v>
      </c>
      <c r="AU188" s="39">
        <v>1070.0</v>
      </c>
      <c r="AV188" s="39">
        <v>0.0</v>
      </c>
      <c r="AW188" s="39">
        <v>0.0</v>
      </c>
      <c r="AX188" s="39">
        <v>0.0</v>
      </c>
      <c r="AY188" s="39">
        <v>0.0</v>
      </c>
      <c r="AZ188" s="39">
        <v>0.0</v>
      </c>
      <c r="BA188" s="39">
        <v>0.0</v>
      </c>
      <c r="BB188" s="39">
        <v>0.0</v>
      </c>
      <c r="BC188" s="39">
        <v>332.0</v>
      </c>
      <c r="BD188" s="39">
        <v>0.0</v>
      </c>
      <c r="BE188" s="39">
        <v>0.0</v>
      </c>
      <c r="BF188" s="39">
        <v>0.0</v>
      </c>
      <c r="BG188" s="39">
        <v>0.0</v>
      </c>
      <c r="BH188" s="48"/>
      <c r="BI188" s="47"/>
    </row>
    <row r="189">
      <c r="A189" s="38">
        <f t="shared" si="1"/>
        <v>45986</v>
      </c>
      <c r="B189" s="39">
        <v>33.0</v>
      </c>
      <c r="C189" s="39" t="s">
        <v>1819</v>
      </c>
      <c r="D189" s="39">
        <v>1.0</v>
      </c>
      <c r="E189" s="39">
        <v>2.655028501E9</v>
      </c>
      <c r="F189" s="39" t="s">
        <v>100</v>
      </c>
      <c r="G189" s="39" t="s">
        <v>1820</v>
      </c>
      <c r="H189" s="39" t="s">
        <v>1821</v>
      </c>
      <c r="I189" s="40">
        <v>45986.0</v>
      </c>
      <c r="J189" s="40">
        <v>45986.0</v>
      </c>
      <c r="K189" s="40">
        <v>45987.0</v>
      </c>
      <c r="L189" s="48"/>
      <c r="M189" s="48"/>
      <c r="N189" s="48"/>
      <c r="O189" s="39">
        <v>6.546161396E9</v>
      </c>
      <c r="P189" s="39" t="s">
        <v>1231</v>
      </c>
      <c r="Q189" s="39" t="s">
        <v>1236</v>
      </c>
      <c r="R189" s="39">
        <v>1.0</v>
      </c>
      <c r="S189" s="39">
        <v>13764.0</v>
      </c>
      <c r="T189" s="39">
        <v>18000.0</v>
      </c>
      <c r="U189" s="39">
        <v>0.0</v>
      </c>
      <c r="V189" s="39">
        <v>4236.0</v>
      </c>
      <c r="W189" s="39">
        <v>13764.0</v>
      </c>
      <c r="X189" s="39">
        <v>18000.0</v>
      </c>
      <c r="Y189" s="39">
        <v>0.0</v>
      </c>
      <c r="Z189" s="39">
        <v>0.0</v>
      </c>
      <c r="AA189" s="39">
        <v>0.0</v>
      </c>
      <c r="AB189" s="39">
        <v>0.0</v>
      </c>
      <c r="AC189" s="39">
        <v>0.0</v>
      </c>
      <c r="AD189" s="39">
        <v>0.0</v>
      </c>
      <c r="AE189" s="39">
        <v>0.0</v>
      </c>
      <c r="AF189" s="39">
        <v>0.0</v>
      </c>
      <c r="AG189" s="39">
        <v>0.0</v>
      </c>
      <c r="AH189" s="39">
        <v>0.0</v>
      </c>
      <c r="AI189" s="39">
        <v>0.0</v>
      </c>
      <c r="AJ189" s="39">
        <v>0.0</v>
      </c>
      <c r="AK189" s="48"/>
      <c r="AL189" s="39">
        <v>4.60933137711E11</v>
      </c>
      <c r="AM189" s="39" t="s">
        <v>1209</v>
      </c>
      <c r="AN189" s="42">
        <v>0.11</v>
      </c>
      <c r="AO189" s="43">
        <v>1124.0</v>
      </c>
      <c r="AP189" s="39">
        <v>0.0</v>
      </c>
      <c r="AQ189" s="39">
        <v>0.0</v>
      </c>
      <c r="AR189" s="39">
        <v>0.0</v>
      </c>
      <c r="AS189" s="39">
        <v>2780.0</v>
      </c>
      <c r="AT189" s="39">
        <v>1710.0</v>
      </c>
      <c r="AU189" s="39">
        <v>1070.0</v>
      </c>
      <c r="AV189" s="39">
        <v>0.0</v>
      </c>
      <c r="AW189" s="39">
        <v>0.0</v>
      </c>
      <c r="AX189" s="39">
        <v>0.0</v>
      </c>
      <c r="AY189" s="39">
        <v>0.0</v>
      </c>
      <c r="AZ189" s="39">
        <v>0.0</v>
      </c>
      <c r="BA189" s="39">
        <v>0.0</v>
      </c>
      <c r="BB189" s="39">
        <v>0.0</v>
      </c>
      <c r="BC189" s="39">
        <v>332.0</v>
      </c>
      <c r="BD189" s="39">
        <v>0.0</v>
      </c>
      <c r="BE189" s="39">
        <v>0.0</v>
      </c>
      <c r="BF189" s="39">
        <v>0.0</v>
      </c>
      <c r="BG189" s="39">
        <v>0.0</v>
      </c>
      <c r="BH189" s="48"/>
      <c r="BI189" s="47"/>
    </row>
    <row r="190">
      <c r="A190" s="38">
        <f t="shared" si="1"/>
        <v>45986</v>
      </c>
      <c r="B190" s="39">
        <v>34.0</v>
      </c>
      <c r="C190" s="39" t="s">
        <v>1822</v>
      </c>
      <c r="D190" s="39">
        <v>1.0</v>
      </c>
      <c r="E190" s="39">
        <v>2.65503333E9</v>
      </c>
      <c r="F190" s="39" t="s">
        <v>100</v>
      </c>
      <c r="G190" s="39" t="s">
        <v>1823</v>
      </c>
      <c r="H190" s="39" t="s">
        <v>1824</v>
      </c>
      <c r="I190" s="40">
        <v>45986.0</v>
      </c>
      <c r="J190" s="40">
        <v>45986.0</v>
      </c>
      <c r="K190" s="40">
        <v>45987.0</v>
      </c>
      <c r="L190" s="48"/>
      <c r="M190" s="48"/>
      <c r="N190" s="48"/>
      <c r="O190" s="39">
        <v>8.71379692E9</v>
      </c>
      <c r="P190" s="39" t="s">
        <v>1478</v>
      </c>
      <c r="Q190" s="39" t="s">
        <v>1579</v>
      </c>
      <c r="R190" s="39">
        <v>1.0</v>
      </c>
      <c r="S190" s="39">
        <v>101736.0</v>
      </c>
      <c r="T190" s="39">
        <v>119000.0</v>
      </c>
      <c r="U190" s="39">
        <v>0.0</v>
      </c>
      <c r="V190" s="39">
        <v>17264.0</v>
      </c>
      <c r="W190" s="39">
        <v>0.0</v>
      </c>
      <c r="X190" s="39">
        <v>109000.0</v>
      </c>
      <c r="Y190" s="39">
        <v>10000.0</v>
      </c>
      <c r="Z190" s="39">
        <v>0.0</v>
      </c>
      <c r="AA190" s="39">
        <v>0.0</v>
      </c>
      <c r="AB190" s="39">
        <v>0.0</v>
      </c>
      <c r="AC190" s="39">
        <v>0.0</v>
      </c>
      <c r="AD190" s="39">
        <v>0.0</v>
      </c>
      <c r="AE190" s="39">
        <v>0.0</v>
      </c>
      <c r="AF190" s="39">
        <v>0.0</v>
      </c>
      <c r="AG190" s="39">
        <v>0.0</v>
      </c>
      <c r="AH190" s="39">
        <v>0.0</v>
      </c>
      <c r="AI190" s="39">
        <v>0.0</v>
      </c>
      <c r="AJ190" s="39">
        <v>0.0</v>
      </c>
      <c r="AK190" s="48"/>
      <c r="AL190" s="39">
        <v>4.60933137722E11</v>
      </c>
      <c r="AM190" s="39" t="s">
        <v>1209</v>
      </c>
      <c r="AN190" s="42">
        <v>0.09</v>
      </c>
      <c r="AO190" s="43">
        <v>10710.0</v>
      </c>
      <c r="AP190" s="39">
        <v>0.0</v>
      </c>
      <c r="AQ190" s="39">
        <v>0.0</v>
      </c>
      <c r="AR190" s="39">
        <v>0.0</v>
      </c>
      <c r="AS190" s="39">
        <v>2000.0</v>
      </c>
      <c r="AT190" s="39">
        <v>2000.0</v>
      </c>
      <c r="AU190" s="39">
        <v>0.0</v>
      </c>
      <c r="AV190" s="39">
        <v>0.0</v>
      </c>
      <c r="AW190" s="39">
        <v>0.0</v>
      </c>
      <c r="AX190" s="39">
        <v>0.0</v>
      </c>
      <c r="AY190" s="39">
        <v>0.0</v>
      </c>
      <c r="AZ190" s="39">
        <v>0.0</v>
      </c>
      <c r="BA190" s="39">
        <v>0.0</v>
      </c>
      <c r="BB190" s="39">
        <v>0.0</v>
      </c>
      <c r="BC190" s="39">
        <v>4554.0</v>
      </c>
      <c r="BD190" s="39">
        <v>0.0</v>
      </c>
      <c r="BE190" s="39">
        <v>0.0</v>
      </c>
      <c r="BF190" s="39">
        <v>0.0</v>
      </c>
      <c r="BG190" s="39">
        <v>0.0</v>
      </c>
      <c r="BH190" s="48"/>
      <c r="BI190" s="47"/>
    </row>
    <row r="191">
      <c r="A191" s="38">
        <f t="shared" si="1"/>
        <v>45986</v>
      </c>
      <c r="B191" s="39">
        <v>35.0</v>
      </c>
      <c r="C191" s="39" t="s">
        <v>1825</v>
      </c>
      <c r="D191" s="39">
        <v>1.0</v>
      </c>
      <c r="E191" s="39">
        <v>2.655038042E9</v>
      </c>
      <c r="F191" s="39" t="s">
        <v>100</v>
      </c>
      <c r="G191" s="39" t="s">
        <v>1826</v>
      </c>
      <c r="H191" s="39" t="s">
        <v>1827</v>
      </c>
      <c r="I191" s="40">
        <v>45986.0</v>
      </c>
      <c r="J191" s="40">
        <v>45986.0</v>
      </c>
      <c r="K191" s="40">
        <v>45987.0</v>
      </c>
      <c r="L191" s="48"/>
      <c r="M191" s="48"/>
      <c r="N191" s="48"/>
      <c r="O191" s="39">
        <v>5.370879772E9</v>
      </c>
      <c r="P191" s="39" t="s">
        <v>1246</v>
      </c>
      <c r="Q191" s="39" t="s">
        <v>1828</v>
      </c>
      <c r="R191" s="39">
        <v>1.0</v>
      </c>
      <c r="S191" s="39">
        <v>27250.0</v>
      </c>
      <c r="T191" s="39">
        <v>33000.0</v>
      </c>
      <c r="U191" s="39">
        <v>0.0</v>
      </c>
      <c r="V191" s="39">
        <v>5750.0</v>
      </c>
      <c r="W191" s="39">
        <v>0.0</v>
      </c>
      <c r="X191" s="39">
        <v>33000.0</v>
      </c>
      <c r="Y191" s="39">
        <v>0.0</v>
      </c>
      <c r="Z191" s="39">
        <v>0.0</v>
      </c>
      <c r="AA191" s="39">
        <v>0.0</v>
      </c>
      <c r="AB191" s="39">
        <v>0.0</v>
      </c>
      <c r="AC191" s="39">
        <v>0.0</v>
      </c>
      <c r="AD191" s="39">
        <v>0.0</v>
      </c>
      <c r="AE191" s="39">
        <v>0.0</v>
      </c>
      <c r="AF191" s="39">
        <v>0.0</v>
      </c>
      <c r="AG191" s="39">
        <v>0.0</v>
      </c>
      <c r="AH191" s="39">
        <v>0.0</v>
      </c>
      <c r="AI191" s="39">
        <v>0.0</v>
      </c>
      <c r="AJ191" s="39">
        <v>0.0</v>
      </c>
      <c r="AK191" s="48"/>
      <c r="AL191" s="39">
        <v>4.60933137733E11</v>
      </c>
      <c r="AM191" s="39" t="s">
        <v>1209</v>
      </c>
      <c r="AN191" s="42">
        <v>0.09</v>
      </c>
      <c r="AO191" s="43">
        <v>1130.0</v>
      </c>
      <c r="AP191" s="39">
        <v>0.0</v>
      </c>
      <c r="AQ191" s="39">
        <v>0.0</v>
      </c>
      <c r="AR191" s="39">
        <v>0.0</v>
      </c>
      <c r="AS191" s="39">
        <v>4400.0</v>
      </c>
      <c r="AT191" s="39">
        <v>2100.0</v>
      </c>
      <c r="AU191" s="39">
        <v>2300.0</v>
      </c>
      <c r="AV191" s="39">
        <v>0.0</v>
      </c>
      <c r="AW191" s="39">
        <v>0.0</v>
      </c>
      <c r="AX191" s="39">
        <v>0.0</v>
      </c>
      <c r="AY191" s="39">
        <v>0.0</v>
      </c>
      <c r="AZ191" s="39">
        <v>0.0</v>
      </c>
      <c r="BA191" s="39">
        <v>0.0</v>
      </c>
      <c r="BB191" s="39">
        <v>0.0</v>
      </c>
      <c r="BC191" s="39">
        <v>220.0</v>
      </c>
      <c r="BD191" s="39">
        <v>0.0</v>
      </c>
      <c r="BE191" s="39">
        <v>0.0</v>
      </c>
      <c r="BF191" s="39">
        <v>0.0</v>
      </c>
      <c r="BG191" s="39">
        <v>0.0</v>
      </c>
      <c r="BH191" s="48"/>
      <c r="BI191" s="47"/>
    </row>
    <row r="192">
      <c r="A192" s="38">
        <f t="shared" si="1"/>
        <v>45986</v>
      </c>
      <c r="B192" s="39">
        <v>36.0</v>
      </c>
      <c r="C192" s="39" t="s">
        <v>1829</v>
      </c>
      <c r="D192" s="39">
        <v>1.0</v>
      </c>
      <c r="E192" s="39">
        <v>2.655104087E9</v>
      </c>
      <c r="F192" s="39" t="s">
        <v>100</v>
      </c>
      <c r="G192" s="39" t="s">
        <v>1830</v>
      </c>
      <c r="H192" s="39" t="s">
        <v>1831</v>
      </c>
      <c r="I192" s="40">
        <v>45986.0</v>
      </c>
      <c r="J192" s="40">
        <v>45987.0</v>
      </c>
      <c r="K192" s="40">
        <v>45988.0</v>
      </c>
      <c r="L192" s="48"/>
      <c r="M192" s="48"/>
      <c r="N192" s="48"/>
      <c r="O192" s="39">
        <v>8.608124003E9</v>
      </c>
      <c r="P192" s="39" t="s">
        <v>1832</v>
      </c>
      <c r="Q192" s="39" t="s">
        <v>1219</v>
      </c>
      <c r="R192" s="39">
        <v>1.0</v>
      </c>
      <c r="S192" s="39">
        <v>62356.0</v>
      </c>
      <c r="T192" s="39">
        <v>79000.0</v>
      </c>
      <c r="U192" s="39">
        <v>0.0</v>
      </c>
      <c r="V192" s="39">
        <v>16644.0</v>
      </c>
      <c r="W192" s="39">
        <v>62356.0</v>
      </c>
      <c r="X192" s="39">
        <v>79000.0</v>
      </c>
      <c r="Y192" s="39">
        <v>0.0</v>
      </c>
      <c r="Z192" s="39">
        <v>0.0</v>
      </c>
      <c r="AA192" s="39">
        <v>0.0</v>
      </c>
      <c r="AB192" s="39">
        <v>0.0</v>
      </c>
      <c r="AC192" s="39">
        <v>0.0</v>
      </c>
      <c r="AD192" s="39">
        <v>0.0</v>
      </c>
      <c r="AE192" s="39">
        <v>0.0</v>
      </c>
      <c r="AF192" s="39">
        <v>0.0</v>
      </c>
      <c r="AG192" s="39">
        <v>0.0</v>
      </c>
      <c r="AH192" s="39">
        <v>0.0</v>
      </c>
      <c r="AI192" s="39">
        <v>0.0</v>
      </c>
      <c r="AJ192" s="39">
        <v>0.0</v>
      </c>
      <c r="AK192" s="48"/>
      <c r="AL192" s="39">
        <v>4.6093910478E11</v>
      </c>
      <c r="AM192" s="39" t="s">
        <v>1209</v>
      </c>
      <c r="AN192" s="42">
        <v>0.13</v>
      </c>
      <c r="AO192" s="43">
        <v>7742.0</v>
      </c>
      <c r="AP192" s="39">
        <v>0.0</v>
      </c>
      <c r="AQ192" s="39">
        <v>0.0</v>
      </c>
      <c r="AR192" s="39">
        <v>0.0</v>
      </c>
      <c r="AS192" s="39">
        <v>7900.0</v>
      </c>
      <c r="AT192" s="39">
        <v>4740.0</v>
      </c>
      <c r="AU192" s="39">
        <v>3160.0</v>
      </c>
      <c r="AV192" s="39">
        <v>0.0</v>
      </c>
      <c r="AW192" s="39">
        <v>0.0</v>
      </c>
      <c r="AX192" s="39">
        <v>0.0</v>
      </c>
      <c r="AY192" s="39">
        <v>0.0</v>
      </c>
      <c r="AZ192" s="39">
        <v>0.0</v>
      </c>
      <c r="BA192" s="39">
        <v>0.0</v>
      </c>
      <c r="BB192" s="39">
        <v>0.0</v>
      </c>
      <c r="BC192" s="39">
        <v>1002.0</v>
      </c>
      <c r="BD192" s="39">
        <v>0.0</v>
      </c>
      <c r="BE192" s="39">
        <v>0.0</v>
      </c>
      <c r="BF192" s="39">
        <v>0.0</v>
      </c>
      <c r="BG192" s="39">
        <v>0.0</v>
      </c>
      <c r="BH192" s="48"/>
      <c r="BI192" s="47"/>
    </row>
    <row r="193">
      <c r="A193" s="38">
        <f t="shared" si="1"/>
        <v>45986</v>
      </c>
      <c r="B193" s="39">
        <v>37.0</v>
      </c>
      <c r="C193" s="39" t="s">
        <v>1833</v>
      </c>
      <c r="D193" s="39">
        <v>1.0</v>
      </c>
      <c r="E193" s="39">
        <v>2.655137503E9</v>
      </c>
      <c r="F193" s="39" t="s">
        <v>100</v>
      </c>
      <c r="G193" s="39" t="s">
        <v>1834</v>
      </c>
      <c r="H193" s="39" t="s">
        <v>1835</v>
      </c>
      <c r="I193" s="40">
        <v>45986.0</v>
      </c>
      <c r="J193" s="40">
        <v>45987.0</v>
      </c>
      <c r="K193" s="40">
        <v>45988.0</v>
      </c>
      <c r="L193" s="48"/>
      <c r="M193" s="48"/>
      <c r="N193" s="48"/>
      <c r="O193" s="39">
        <v>1.898280509E9</v>
      </c>
      <c r="P193" s="39" t="s">
        <v>1836</v>
      </c>
      <c r="Q193" s="39" t="s">
        <v>1837</v>
      </c>
      <c r="R193" s="39">
        <v>1.0</v>
      </c>
      <c r="S193" s="39">
        <v>17975.0</v>
      </c>
      <c r="T193" s="39">
        <v>19900.0</v>
      </c>
      <c r="U193" s="39">
        <v>0.0</v>
      </c>
      <c r="V193" s="39">
        <v>1925.0</v>
      </c>
      <c r="W193" s="39">
        <v>0.0</v>
      </c>
      <c r="X193" s="39">
        <v>19900.0</v>
      </c>
      <c r="Y193" s="39">
        <v>0.0</v>
      </c>
      <c r="Z193" s="39">
        <v>0.0</v>
      </c>
      <c r="AA193" s="39">
        <v>0.0</v>
      </c>
      <c r="AB193" s="39">
        <v>0.0</v>
      </c>
      <c r="AC193" s="39">
        <v>0.0</v>
      </c>
      <c r="AD193" s="39">
        <v>0.0</v>
      </c>
      <c r="AE193" s="39">
        <v>0.0</v>
      </c>
      <c r="AF193" s="39">
        <v>0.0</v>
      </c>
      <c r="AG193" s="39">
        <v>0.0</v>
      </c>
      <c r="AH193" s="39">
        <v>0.0</v>
      </c>
      <c r="AI193" s="39">
        <v>0.0</v>
      </c>
      <c r="AJ193" s="39">
        <v>0.0</v>
      </c>
      <c r="AK193" s="48"/>
      <c r="AL193" s="39">
        <v>4.60939104791E11</v>
      </c>
      <c r="AM193" s="39" t="s">
        <v>1209</v>
      </c>
      <c r="AN193" s="42">
        <v>0.09</v>
      </c>
      <c r="AO193" s="43">
        <v>1255.0</v>
      </c>
      <c r="AP193" s="39">
        <v>0.0</v>
      </c>
      <c r="AQ193" s="39">
        <v>0.0</v>
      </c>
      <c r="AR193" s="39">
        <v>0.0</v>
      </c>
      <c r="AS193" s="39">
        <v>670.0</v>
      </c>
      <c r="AT193" s="39">
        <v>0.0</v>
      </c>
      <c r="AU193" s="39">
        <v>670.0</v>
      </c>
      <c r="AV193" s="39">
        <v>0.0</v>
      </c>
      <c r="AW193" s="39">
        <v>0.0</v>
      </c>
      <c r="AX193" s="39">
        <v>0.0</v>
      </c>
      <c r="AY193" s="39">
        <v>0.0</v>
      </c>
      <c r="AZ193" s="39">
        <v>0.0</v>
      </c>
      <c r="BA193" s="39">
        <v>0.0</v>
      </c>
      <c r="BB193" s="39">
        <v>0.0</v>
      </c>
      <c r="BC193" s="39">
        <v>0.0</v>
      </c>
      <c r="BD193" s="39">
        <v>0.0</v>
      </c>
      <c r="BE193" s="39">
        <v>0.0</v>
      </c>
      <c r="BF193" s="39">
        <v>0.0</v>
      </c>
      <c r="BG193" s="39">
        <v>0.0</v>
      </c>
      <c r="BH193" s="48"/>
      <c r="BI193" s="47"/>
    </row>
    <row r="194">
      <c r="A194" s="38">
        <f t="shared" si="1"/>
        <v>45986</v>
      </c>
      <c r="B194" s="39">
        <v>38.0</v>
      </c>
      <c r="C194" s="39" t="s">
        <v>1838</v>
      </c>
      <c r="D194" s="39">
        <v>1.0</v>
      </c>
      <c r="E194" s="39">
        <v>2.655146762E9</v>
      </c>
      <c r="F194" s="39" t="s">
        <v>100</v>
      </c>
      <c r="G194" s="39" t="s">
        <v>1839</v>
      </c>
      <c r="H194" s="39" t="s">
        <v>1840</v>
      </c>
      <c r="I194" s="40">
        <v>45986.0</v>
      </c>
      <c r="J194" s="40">
        <v>45987.0</v>
      </c>
      <c r="K194" s="40">
        <v>45988.0</v>
      </c>
      <c r="L194" s="48"/>
      <c r="M194" s="48"/>
      <c r="N194" s="48"/>
      <c r="O194" s="39">
        <v>8.718781954E9</v>
      </c>
      <c r="P194" s="39" t="s">
        <v>1287</v>
      </c>
      <c r="Q194" s="39" t="s">
        <v>1259</v>
      </c>
      <c r="R194" s="39">
        <v>1.0</v>
      </c>
      <c r="S194" s="39">
        <v>101736.0</v>
      </c>
      <c r="T194" s="39">
        <v>119000.0</v>
      </c>
      <c r="U194" s="39">
        <v>0.0</v>
      </c>
      <c r="V194" s="39">
        <v>17264.0</v>
      </c>
      <c r="W194" s="39">
        <v>0.0</v>
      </c>
      <c r="X194" s="39">
        <v>119000.0</v>
      </c>
      <c r="Y194" s="39">
        <v>0.0</v>
      </c>
      <c r="Z194" s="39">
        <v>0.0</v>
      </c>
      <c r="AA194" s="39">
        <v>0.0</v>
      </c>
      <c r="AB194" s="39">
        <v>0.0</v>
      </c>
      <c r="AC194" s="39">
        <v>0.0</v>
      </c>
      <c r="AD194" s="39">
        <v>0.0</v>
      </c>
      <c r="AE194" s="39">
        <v>0.0</v>
      </c>
      <c r="AF194" s="39">
        <v>0.0</v>
      </c>
      <c r="AG194" s="39">
        <v>0.0</v>
      </c>
      <c r="AH194" s="39">
        <v>0.0</v>
      </c>
      <c r="AI194" s="39">
        <v>0.0</v>
      </c>
      <c r="AJ194" s="39">
        <v>0.0</v>
      </c>
      <c r="AK194" s="48"/>
      <c r="AL194" s="39">
        <v>5.40640656995E11</v>
      </c>
      <c r="AM194" s="39" t="s">
        <v>1209</v>
      </c>
      <c r="AN194" s="42">
        <v>0.09</v>
      </c>
      <c r="AO194" s="43">
        <v>10710.0</v>
      </c>
      <c r="AP194" s="39">
        <v>0.0</v>
      </c>
      <c r="AQ194" s="39">
        <v>0.0</v>
      </c>
      <c r="AR194" s="39">
        <v>0.0</v>
      </c>
      <c r="AS194" s="39">
        <v>2000.0</v>
      </c>
      <c r="AT194" s="39">
        <v>2000.0</v>
      </c>
      <c r="AU194" s="39">
        <v>0.0</v>
      </c>
      <c r="AV194" s="39">
        <v>0.0</v>
      </c>
      <c r="AW194" s="39">
        <v>0.0</v>
      </c>
      <c r="AX194" s="39">
        <v>0.0</v>
      </c>
      <c r="AY194" s="39">
        <v>0.0</v>
      </c>
      <c r="AZ194" s="39">
        <v>0.0</v>
      </c>
      <c r="BA194" s="39">
        <v>0.0</v>
      </c>
      <c r="BB194" s="39">
        <v>0.0</v>
      </c>
      <c r="BC194" s="39">
        <v>4554.0</v>
      </c>
      <c r="BD194" s="39">
        <v>0.0</v>
      </c>
      <c r="BE194" s="39">
        <v>0.0</v>
      </c>
      <c r="BF194" s="39">
        <v>0.0</v>
      </c>
      <c r="BG194" s="39">
        <v>0.0</v>
      </c>
      <c r="BH194" s="48"/>
      <c r="BI194" s="47"/>
    </row>
    <row r="195">
      <c r="A195" s="38">
        <f t="shared" si="1"/>
        <v>45986</v>
      </c>
      <c r="B195" s="39">
        <v>39.0</v>
      </c>
      <c r="C195" s="39" t="s">
        <v>1841</v>
      </c>
      <c r="D195" s="39">
        <v>1.0</v>
      </c>
      <c r="E195" s="39">
        <v>2.655179157E9</v>
      </c>
      <c r="F195" s="39" t="s">
        <v>100</v>
      </c>
      <c r="G195" s="39" t="s">
        <v>1842</v>
      </c>
      <c r="H195" s="39" t="s">
        <v>1843</v>
      </c>
      <c r="I195" s="40">
        <v>45986.0</v>
      </c>
      <c r="J195" s="40">
        <v>45987.0</v>
      </c>
      <c r="K195" s="40">
        <v>45988.0</v>
      </c>
      <c r="L195" s="48"/>
      <c r="M195" s="48"/>
      <c r="N195" s="48"/>
      <c r="O195" s="39">
        <v>6.422434702E9</v>
      </c>
      <c r="P195" s="39" t="s">
        <v>1223</v>
      </c>
      <c r="Q195" s="39" t="s">
        <v>1224</v>
      </c>
      <c r="R195" s="39">
        <v>1.0</v>
      </c>
      <c r="S195" s="39">
        <v>17010.0</v>
      </c>
      <c r="T195" s="39">
        <v>19900.0</v>
      </c>
      <c r="U195" s="39">
        <v>0.0</v>
      </c>
      <c r="V195" s="39">
        <v>2890.0</v>
      </c>
      <c r="W195" s="39">
        <v>0.0</v>
      </c>
      <c r="X195" s="39">
        <v>19900.0</v>
      </c>
      <c r="Y195" s="39">
        <v>0.0</v>
      </c>
      <c r="Z195" s="39">
        <v>0.0</v>
      </c>
      <c r="AA195" s="39">
        <v>0.0</v>
      </c>
      <c r="AB195" s="39">
        <v>0.0</v>
      </c>
      <c r="AC195" s="39">
        <v>0.0</v>
      </c>
      <c r="AD195" s="39">
        <v>0.0</v>
      </c>
      <c r="AE195" s="39">
        <v>0.0</v>
      </c>
      <c r="AF195" s="39">
        <v>0.0</v>
      </c>
      <c r="AG195" s="39">
        <v>0.0</v>
      </c>
      <c r="AH195" s="39">
        <v>0.0</v>
      </c>
      <c r="AI195" s="39">
        <v>0.0</v>
      </c>
      <c r="AJ195" s="39">
        <v>0.0</v>
      </c>
      <c r="AK195" s="48"/>
      <c r="AL195" s="39">
        <v>4.60939104813E11</v>
      </c>
      <c r="AM195" s="39" t="s">
        <v>1209</v>
      </c>
      <c r="AN195" s="42">
        <v>0.11</v>
      </c>
      <c r="AO195" s="43">
        <v>1077.0</v>
      </c>
      <c r="AP195" s="39">
        <v>0.0</v>
      </c>
      <c r="AQ195" s="39">
        <v>0.0</v>
      </c>
      <c r="AR195" s="39">
        <v>0.0</v>
      </c>
      <c r="AS195" s="39">
        <v>1390.0</v>
      </c>
      <c r="AT195" s="39">
        <v>0.0</v>
      </c>
      <c r="AU195" s="39">
        <v>1390.0</v>
      </c>
      <c r="AV195" s="39">
        <v>0.0</v>
      </c>
      <c r="AW195" s="39">
        <v>0.0</v>
      </c>
      <c r="AX195" s="39">
        <v>0.0</v>
      </c>
      <c r="AY195" s="39">
        <v>0.0</v>
      </c>
      <c r="AZ195" s="39">
        <v>0.0</v>
      </c>
      <c r="BA195" s="39">
        <v>0.0</v>
      </c>
      <c r="BB195" s="39">
        <v>0.0</v>
      </c>
      <c r="BC195" s="39">
        <v>423.0</v>
      </c>
      <c r="BD195" s="39">
        <v>0.0</v>
      </c>
      <c r="BE195" s="39">
        <v>0.0</v>
      </c>
      <c r="BF195" s="39">
        <v>0.0</v>
      </c>
      <c r="BG195" s="39">
        <v>0.0</v>
      </c>
      <c r="BH195" s="48"/>
      <c r="BI195" s="47"/>
    </row>
    <row r="196">
      <c r="A196" s="38">
        <f t="shared" si="1"/>
        <v>45987</v>
      </c>
      <c r="B196" s="39">
        <v>40.0</v>
      </c>
      <c r="C196" s="39" t="s">
        <v>1844</v>
      </c>
      <c r="D196" s="39">
        <v>3.0</v>
      </c>
      <c r="E196" s="39">
        <v>2.655208265E9</v>
      </c>
      <c r="F196" s="39" t="s">
        <v>100</v>
      </c>
      <c r="G196" s="39" t="s">
        <v>1845</v>
      </c>
      <c r="H196" s="39" t="s">
        <v>1846</v>
      </c>
      <c r="I196" s="40">
        <v>45987.0</v>
      </c>
      <c r="J196" s="40">
        <v>45987.0</v>
      </c>
      <c r="K196" s="40">
        <v>45988.0</v>
      </c>
      <c r="L196" s="48"/>
      <c r="M196" s="48"/>
      <c r="N196" s="48"/>
      <c r="O196" s="39">
        <v>5.95337221E9</v>
      </c>
      <c r="P196" s="39" t="s">
        <v>1426</v>
      </c>
      <c r="Q196" s="39" t="s">
        <v>1427</v>
      </c>
      <c r="R196" s="39">
        <v>1.0</v>
      </c>
      <c r="S196" s="39">
        <v>26980.0</v>
      </c>
      <c r="T196" s="39">
        <v>30000.0</v>
      </c>
      <c r="U196" s="39">
        <v>0.0</v>
      </c>
      <c r="V196" s="39">
        <v>3020.0</v>
      </c>
      <c r="W196" s="39">
        <v>0.0</v>
      </c>
      <c r="X196" s="39">
        <v>30000.0</v>
      </c>
      <c r="Y196" s="39">
        <v>0.0</v>
      </c>
      <c r="Z196" s="39">
        <v>0.0</v>
      </c>
      <c r="AA196" s="39">
        <v>0.0</v>
      </c>
      <c r="AB196" s="39">
        <v>0.0</v>
      </c>
      <c r="AC196" s="39">
        <v>0.0</v>
      </c>
      <c r="AD196" s="39">
        <v>0.0</v>
      </c>
      <c r="AE196" s="39">
        <v>0.0</v>
      </c>
      <c r="AF196" s="39">
        <v>0.0</v>
      </c>
      <c r="AG196" s="39">
        <v>0.0</v>
      </c>
      <c r="AH196" s="39">
        <v>0.0</v>
      </c>
      <c r="AI196" s="39">
        <v>0.0</v>
      </c>
      <c r="AJ196" s="39">
        <v>0.0</v>
      </c>
      <c r="AK196" s="48"/>
      <c r="AL196" s="39">
        <v>4.60939104824E11</v>
      </c>
      <c r="AM196" s="39" t="s">
        <v>1209</v>
      </c>
      <c r="AN196" s="42">
        <v>0.09</v>
      </c>
      <c r="AO196" s="43">
        <v>2700.0</v>
      </c>
      <c r="AP196" s="39">
        <v>0.0</v>
      </c>
      <c r="AQ196" s="39">
        <v>0.0</v>
      </c>
      <c r="AR196" s="39">
        <v>0.0</v>
      </c>
      <c r="AS196" s="39">
        <v>100.0</v>
      </c>
      <c r="AT196" s="39">
        <v>100.0</v>
      </c>
      <c r="AU196" s="39">
        <v>0.0</v>
      </c>
      <c r="AV196" s="39">
        <v>0.0</v>
      </c>
      <c r="AW196" s="39">
        <v>0.0</v>
      </c>
      <c r="AX196" s="39">
        <v>0.0</v>
      </c>
      <c r="AY196" s="39">
        <v>0.0</v>
      </c>
      <c r="AZ196" s="39">
        <v>0.0</v>
      </c>
      <c r="BA196" s="39">
        <v>0.0</v>
      </c>
      <c r="BB196" s="39">
        <v>0.0</v>
      </c>
      <c r="BC196" s="39">
        <v>220.0</v>
      </c>
      <c r="BD196" s="39">
        <v>0.0</v>
      </c>
      <c r="BE196" s="39">
        <v>0.0</v>
      </c>
      <c r="BF196" s="39">
        <v>0.0</v>
      </c>
      <c r="BG196" s="39">
        <v>0.0</v>
      </c>
      <c r="BH196" s="48"/>
      <c r="BI196" s="47"/>
    </row>
    <row r="197">
      <c r="A197" s="38">
        <f t="shared" si="1"/>
        <v>45987</v>
      </c>
      <c r="B197" s="39">
        <v>41.0</v>
      </c>
      <c r="C197" s="39" t="s">
        <v>1847</v>
      </c>
      <c r="D197" s="39">
        <v>1.0</v>
      </c>
      <c r="E197" s="39">
        <v>2.655228992E9</v>
      </c>
      <c r="F197" s="39" t="s">
        <v>100</v>
      </c>
      <c r="G197" s="39" t="s">
        <v>1848</v>
      </c>
      <c r="H197" s="39" t="s">
        <v>1849</v>
      </c>
      <c r="I197" s="40">
        <v>45987.0</v>
      </c>
      <c r="J197" s="40">
        <v>45987.0</v>
      </c>
      <c r="K197" s="40">
        <v>45988.0</v>
      </c>
      <c r="L197" s="48"/>
      <c r="M197" s="48"/>
      <c r="N197" s="48"/>
      <c r="O197" s="39">
        <v>2.17249657E9</v>
      </c>
      <c r="P197" s="39" t="s">
        <v>1686</v>
      </c>
      <c r="Q197" s="39" t="s">
        <v>1850</v>
      </c>
      <c r="R197" s="39">
        <v>1.0</v>
      </c>
      <c r="S197" s="39">
        <v>16581.0</v>
      </c>
      <c r="T197" s="39">
        <v>22900.0</v>
      </c>
      <c r="U197" s="39">
        <v>0.0</v>
      </c>
      <c r="V197" s="39">
        <v>6319.0</v>
      </c>
      <c r="W197" s="39">
        <v>0.0</v>
      </c>
      <c r="X197" s="39">
        <v>22900.0</v>
      </c>
      <c r="Y197" s="39">
        <v>0.0</v>
      </c>
      <c r="Z197" s="39">
        <v>0.0</v>
      </c>
      <c r="AA197" s="39">
        <v>0.0</v>
      </c>
      <c r="AB197" s="39">
        <v>0.0</v>
      </c>
      <c r="AC197" s="39">
        <v>0.0</v>
      </c>
      <c r="AD197" s="39">
        <v>0.0</v>
      </c>
      <c r="AE197" s="39">
        <v>0.0</v>
      </c>
      <c r="AF197" s="39">
        <v>0.0</v>
      </c>
      <c r="AG197" s="39">
        <v>0.0</v>
      </c>
      <c r="AH197" s="39">
        <v>0.0</v>
      </c>
      <c r="AI197" s="39">
        <v>0.0</v>
      </c>
      <c r="AJ197" s="39">
        <v>0.0</v>
      </c>
      <c r="AK197" s="48"/>
      <c r="AL197" s="39">
        <v>4.60939104846E11</v>
      </c>
      <c r="AM197" s="39" t="s">
        <v>1209</v>
      </c>
      <c r="AN197" s="42">
        <v>0.13</v>
      </c>
      <c r="AO197" s="43">
        <v>1929.0</v>
      </c>
      <c r="AP197" s="39">
        <v>0.0</v>
      </c>
      <c r="AQ197" s="39">
        <v>0.0</v>
      </c>
      <c r="AR197" s="39">
        <v>0.0</v>
      </c>
      <c r="AS197" s="39">
        <v>4280.0</v>
      </c>
      <c r="AT197" s="39">
        <v>2970.0</v>
      </c>
      <c r="AU197" s="39">
        <v>1310.0</v>
      </c>
      <c r="AV197" s="39">
        <v>0.0</v>
      </c>
      <c r="AW197" s="39">
        <v>0.0</v>
      </c>
      <c r="AX197" s="39">
        <v>0.0</v>
      </c>
      <c r="AY197" s="39">
        <v>0.0</v>
      </c>
      <c r="AZ197" s="39">
        <v>0.0</v>
      </c>
      <c r="BA197" s="39">
        <v>0.0</v>
      </c>
      <c r="BB197" s="39">
        <v>0.0</v>
      </c>
      <c r="BC197" s="39">
        <v>110.0</v>
      </c>
      <c r="BD197" s="39">
        <v>0.0</v>
      </c>
      <c r="BE197" s="39">
        <v>0.0</v>
      </c>
      <c r="BF197" s="39">
        <v>0.0</v>
      </c>
      <c r="BG197" s="39">
        <v>0.0</v>
      </c>
      <c r="BH197" s="48"/>
    </row>
    <row r="198">
      <c r="A198" s="38">
        <f t="shared" si="1"/>
        <v>45987</v>
      </c>
      <c r="B198" s="39">
        <v>42.0</v>
      </c>
      <c r="C198" s="39" t="s">
        <v>1851</v>
      </c>
      <c r="D198" s="39">
        <v>1.0</v>
      </c>
      <c r="E198" s="39">
        <v>2.655253474E9</v>
      </c>
      <c r="F198" s="39" t="s">
        <v>100</v>
      </c>
      <c r="G198" s="39" t="s">
        <v>1852</v>
      </c>
      <c r="H198" s="39" t="s">
        <v>1853</v>
      </c>
      <c r="I198" s="40">
        <v>45987.0</v>
      </c>
      <c r="J198" s="40">
        <v>45987.0</v>
      </c>
      <c r="K198" s="40">
        <v>45988.0</v>
      </c>
      <c r="L198" s="48"/>
      <c r="M198" s="48"/>
      <c r="N198" s="48"/>
      <c r="O198" s="39">
        <v>5.466907344E9</v>
      </c>
      <c r="P198" s="39" t="s">
        <v>1357</v>
      </c>
      <c r="Q198" s="39" t="s">
        <v>1358</v>
      </c>
      <c r="R198" s="39">
        <v>1.0</v>
      </c>
      <c r="S198" s="39">
        <v>60590.0</v>
      </c>
      <c r="T198" s="39">
        <v>70000.0</v>
      </c>
      <c r="U198" s="39">
        <v>0.0</v>
      </c>
      <c r="V198" s="39">
        <v>9410.0</v>
      </c>
      <c r="W198" s="39">
        <v>60590.0</v>
      </c>
      <c r="X198" s="39">
        <v>70000.0</v>
      </c>
      <c r="Y198" s="39">
        <v>0.0</v>
      </c>
      <c r="Z198" s="39">
        <v>0.0</v>
      </c>
      <c r="AA198" s="39">
        <v>0.0</v>
      </c>
      <c r="AB198" s="39">
        <v>0.0</v>
      </c>
      <c r="AC198" s="39">
        <v>0.0</v>
      </c>
      <c r="AD198" s="39">
        <v>0.0</v>
      </c>
      <c r="AE198" s="39">
        <v>0.0</v>
      </c>
      <c r="AF198" s="39">
        <v>0.0</v>
      </c>
      <c r="AG198" s="39">
        <v>0.0</v>
      </c>
      <c r="AH198" s="39">
        <v>0.0</v>
      </c>
      <c r="AI198" s="39">
        <v>0.0</v>
      </c>
      <c r="AJ198" s="39">
        <v>0.0</v>
      </c>
      <c r="AK198" s="48"/>
      <c r="AL198" s="39">
        <v>4.60942809832E11</v>
      </c>
      <c r="AM198" s="39" t="s">
        <v>1209</v>
      </c>
      <c r="AN198" s="42">
        <v>0.09</v>
      </c>
      <c r="AO198" s="43">
        <v>6300.0</v>
      </c>
      <c r="AP198" s="39">
        <v>0.0</v>
      </c>
      <c r="AQ198" s="39">
        <v>0.0</v>
      </c>
      <c r="AR198" s="39">
        <v>0.0</v>
      </c>
      <c r="AS198" s="39">
        <v>3000.0</v>
      </c>
      <c r="AT198" s="39">
        <v>3000.0</v>
      </c>
      <c r="AU198" s="39">
        <v>0.0</v>
      </c>
      <c r="AV198" s="39">
        <v>0.0</v>
      </c>
      <c r="AW198" s="39">
        <v>0.0</v>
      </c>
      <c r="AX198" s="39">
        <v>0.0</v>
      </c>
      <c r="AY198" s="39">
        <v>0.0</v>
      </c>
      <c r="AZ198" s="39">
        <v>0.0</v>
      </c>
      <c r="BA198" s="39">
        <v>0.0</v>
      </c>
      <c r="BB198" s="39">
        <v>0.0</v>
      </c>
      <c r="BC198" s="39">
        <v>110.0</v>
      </c>
      <c r="BD198" s="39">
        <v>0.0</v>
      </c>
      <c r="BE198" s="39">
        <v>0.0</v>
      </c>
      <c r="BF198" s="39">
        <v>0.0</v>
      </c>
      <c r="BG198" s="39">
        <v>0.0</v>
      </c>
      <c r="BH198" s="48"/>
    </row>
    <row r="199">
      <c r="A199" s="38">
        <f t="shared" si="1"/>
        <v>45987</v>
      </c>
      <c r="B199" s="39">
        <v>43.0</v>
      </c>
      <c r="C199" s="39" t="s">
        <v>1854</v>
      </c>
      <c r="D199" s="39">
        <v>3.0</v>
      </c>
      <c r="E199" s="39">
        <v>2.655284477E9</v>
      </c>
      <c r="F199" s="39" t="s">
        <v>100</v>
      </c>
      <c r="G199" s="39" t="s">
        <v>1855</v>
      </c>
      <c r="H199" s="39" t="s">
        <v>1856</v>
      </c>
      <c r="I199" s="40">
        <v>45987.0</v>
      </c>
      <c r="J199" s="40">
        <v>45987.0</v>
      </c>
      <c r="K199" s="40">
        <v>45988.0</v>
      </c>
      <c r="L199" s="48"/>
      <c r="M199" s="48"/>
      <c r="N199" s="48"/>
      <c r="O199" s="39">
        <v>5.466907344E9</v>
      </c>
      <c r="P199" s="39" t="s">
        <v>1357</v>
      </c>
      <c r="Q199" s="39" t="s">
        <v>1358</v>
      </c>
      <c r="R199" s="39">
        <v>1.0</v>
      </c>
      <c r="S199" s="39">
        <v>62590.0</v>
      </c>
      <c r="T199" s="39">
        <v>70000.0</v>
      </c>
      <c r="U199" s="39">
        <v>0.0</v>
      </c>
      <c r="V199" s="39">
        <v>7410.0</v>
      </c>
      <c r="W199" s="39">
        <v>62590.0</v>
      </c>
      <c r="X199" s="39">
        <v>70000.0</v>
      </c>
      <c r="Y199" s="39">
        <v>0.0</v>
      </c>
      <c r="Z199" s="39">
        <v>0.0</v>
      </c>
      <c r="AA199" s="39">
        <v>0.0</v>
      </c>
      <c r="AB199" s="39">
        <v>0.0</v>
      </c>
      <c r="AC199" s="39">
        <v>0.0</v>
      </c>
      <c r="AD199" s="39">
        <v>0.0</v>
      </c>
      <c r="AE199" s="39">
        <v>0.0</v>
      </c>
      <c r="AF199" s="39">
        <v>0.0</v>
      </c>
      <c r="AG199" s="39">
        <v>0.0</v>
      </c>
      <c r="AH199" s="39">
        <v>0.0</v>
      </c>
      <c r="AI199" s="39">
        <v>0.0</v>
      </c>
      <c r="AJ199" s="39">
        <v>0.0</v>
      </c>
      <c r="AK199" s="48"/>
      <c r="AL199" s="39">
        <v>4.60942809854E11</v>
      </c>
      <c r="AM199" s="39" t="s">
        <v>1209</v>
      </c>
      <c r="AN199" s="42">
        <v>0.09</v>
      </c>
      <c r="AO199" s="43">
        <v>6300.0</v>
      </c>
      <c r="AP199" s="39">
        <v>0.0</v>
      </c>
      <c r="AQ199" s="39">
        <v>0.0</v>
      </c>
      <c r="AR199" s="39">
        <v>0.0</v>
      </c>
      <c r="AS199" s="39">
        <v>1000.0</v>
      </c>
      <c r="AT199" s="39">
        <v>1000.0</v>
      </c>
      <c r="AU199" s="39">
        <v>0.0</v>
      </c>
      <c r="AV199" s="39">
        <v>0.0</v>
      </c>
      <c r="AW199" s="39">
        <v>0.0</v>
      </c>
      <c r="AX199" s="39">
        <v>0.0</v>
      </c>
      <c r="AY199" s="39">
        <v>0.0</v>
      </c>
      <c r="AZ199" s="39">
        <v>0.0</v>
      </c>
      <c r="BA199" s="39">
        <v>0.0</v>
      </c>
      <c r="BB199" s="39">
        <v>0.0</v>
      </c>
      <c r="BC199" s="39">
        <v>110.0</v>
      </c>
      <c r="BD199" s="39">
        <v>0.0</v>
      </c>
      <c r="BE199" s="39">
        <v>0.0</v>
      </c>
      <c r="BF199" s="39">
        <v>0.0</v>
      </c>
      <c r="BG199" s="39">
        <v>0.0</v>
      </c>
      <c r="BH199" s="48"/>
    </row>
    <row r="200">
      <c r="A200" s="38">
        <f t="shared" si="1"/>
        <v>45987</v>
      </c>
      <c r="B200" s="39">
        <v>44.0</v>
      </c>
      <c r="C200" s="39" t="s">
        <v>1857</v>
      </c>
      <c r="D200" s="39">
        <v>1.0</v>
      </c>
      <c r="E200" s="39">
        <v>2.655355659E9</v>
      </c>
      <c r="F200" s="39" t="s">
        <v>100</v>
      </c>
      <c r="G200" s="39" t="s">
        <v>1858</v>
      </c>
      <c r="H200" s="39" t="s">
        <v>1859</v>
      </c>
      <c r="I200" s="40">
        <v>45987.0</v>
      </c>
      <c r="J200" s="40">
        <v>45988.0</v>
      </c>
      <c r="K200" s="40">
        <v>45989.0</v>
      </c>
      <c r="L200" s="48"/>
      <c r="M200" s="48"/>
      <c r="N200" s="48"/>
      <c r="O200" s="39">
        <v>5.370879772E9</v>
      </c>
      <c r="P200" s="39" t="s">
        <v>1246</v>
      </c>
      <c r="Q200" s="39" t="s">
        <v>1247</v>
      </c>
      <c r="R200" s="39">
        <v>1.0</v>
      </c>
      <c r="S200" s="39">
        <v>27250.0</v>
      </c>
      <c r="T200" s="39">
        <v>33000.0</v>
      </c>
      <c r="U200" s="39">
        <v>0.0</v>
      </c>
      <c r="V200" s="39">
        <v>5750.0</v>
      </c>
      <c r="W200" s="39">
        <v>0.0</v>
      </c>
      <c r="X200" s="39">
        <v>33000.0</v>
      </c>
      <c r="Y200" s="39">
        <v>0.0</v>
      </c>
      <c r="Z200" s="39">
        <v>0.0</v>
      </c>
      <c r="AA200" s="39">
        <v>0.0</v>
      </c>
      <c r="AB200" s="39">
        <v>0.0</v>
      </c>
      <c r="AC200" s="39">
        <v>0.0</v>
      </c>
      <c r="AD200" s="39">
        <v>0.0</v>
      </c>
      <c r="AE200" s="39">
        <v>0.0</v>
      </c>
      <c r="AF200" s="39">
        <v>0.0</v>
      </c>
      <c r="AG200" s="39">
        <v>0.0</v>
      </c>
      <c r="AH200" s="39">
        <v>0.0</v>
      </c>
      <c r="AI200" s="39">
        <v>0.0</v>
      </c>
      <c r="AJ200" s="39">
        <v>0.0</v>
      </c>
      <c r="AK200" s="48"/>
      <c r="AL200" s="39">
        <v>4.60948802661E11</v>
      </c>
      <c r="AM200" s="39" t="s">
        <v>1209</v>
      </c>
      <c r="AN200" s="42">
        <v>0.09</v>
      </c>
      <c r="AO200" s="43">
        <v>1130.0</v>
      </c>
      <c r="AP200" s="39">
        <v>0.0</v>
      </c>
      <c r="AQ200" s="39">
        <v>0.0</v>
      </c>
      <c r="AR200" s="39">
        <v>0.0</v>
      </c>
      <c r="AS200" s="39">
        <v>4400.0</v>
      </c>
      <c r="AT200" s="39">
        <v>2100.0</v>
      </c>
      <c r="AU200" s="39">
        <v>2300.0</v>
      </c>
      <c r="AV200" s="39">
        <v>0.0</v>
      </c>
      <c r="AW200" s="39">
        <v>0.0</v>
      </c>
      <c r="AX200" s="39">
        <v>0.0</v>
      </c>
      <c r="AY200" s="39">
        <v>0.0</v>
      </c>
      <c r="AZ200" s="39">
        <v>0.0</v>
      </c>
      <c r="BA200" s="39">
        <v>0.0</v>
      </c>
      <c r="BB200" s="39">
        <v>0.0</v>
      </c>
      <c r="BC200" s="39">
        <v>220.0</v>
      </c>
      <c r="BD200" s="39">
        <v>0.0</v>
      </c>
      <c r="BE200" s="39">
        <v>0.0</v>
      </c>
      <c r="BF200" s="39">
        <v>0.0</v>
      </c>
      <c r="BG200" s="39">
        <v>0.0</v>
      </c>
      <c r="BH200" s="48"/>
    </row>
    <row r="201">
      <c r="A201" s="38">
        <f t="shared" si="1"/>
        <v>45987</v>
      </c>
      <c r="B201" s="39">
        <v>45.0</v>
      </c>
      <c r="C201" s="39" t="s">
        <v>1860</v>
      </c>
      <c r="D201" s="39">
        <v>1.0</v>
      </c>
      <c r="E201" s="39">
        <v>2.655360386E9</v>
      </c>
      <c r="F201" s="39" t="s">
        <v>100</v>
      </c>
      <c r="G201" s="39" t="s">
        <v>1861</v>
      </c>
      <c r="H201" s="39" t="s">
        <v>1862</v>
      </c>
      <c r="I201" s="40">
        <v>45987.0</v>
      </c>
      <c r="J201" s="40">
        <v>45988.0</v>
      </c>
      <c r="K201" s="40">
        <v>45989.0</v>
      </c>
      <c r="L201" s="48"/>
      <c r="M201" s="48"/>
      <c r="N201" s="48"/>
      <c r="O201" s="39">
        <v>8.718781954E9</v>
      </c>
      <c r="P201" s="39" t="s">
        <v>1287</v>
      </c>
      <c r="Q201" s="39" t="s">
        <v>1259</v>
      </c>
      <c r="R201" s="39">
        <v>1.0</v>
      </c>
      <c r="S201" s="39">
        <v>106290.0</v>
      </c>
      <c r="T201" s="39">
        <v>119000.0</v>
      </c>
      <c r="U201" s="39">
        <v>0.0</v>
      </c>
      <c r="V201" s="39">
        <v>12710.0</v>
      </c>
      <c r="W201" s="39">
        <v>0.0</v>
      </c>
      <c r="X201" s="39">
        <v>119000.0</v>
      </c>
      <c r="Y201" s="39">
        <v>0.0</v>
      </c>
      <c r="Z201" s="39">
        <v>0.0</v>
      </c>
      <c r="AA201" s="39">
        <v>0.0</v>
      </c>
      <c r="AB201" s="39">
        <v>0.0</v>
      </c>
      <c r="AC201" s="39">
        <v>0.0</v>
      </c>
      <c r="AD201" s="39">
        <v>0.0</v>
      </c>
      <c r="AE201" s="39">
        <v>0.0</v>
      </c>
      <c r="AF201" s="39">
        <v>0.0</v>
      </c>
      <c r="AG201" s="39">
        <v>0.0</v>
      </c>
      <c r="AH201" s="39">
        <v>0.0</v>
      </c>
      <c r="AI201" s="39">
        <v>0.0</v>
      </c>
      <c r="AJ201" s="39">
        <v>0.0</v>
      </c>
      <c r="AK201" s="48"/>
      <c r="AL201" s="39">
        <v>5.40641841454E11</v>
      </c>
      <c r="AM201" s="39" t="s">
        <v>1209</v>
      </c>
      <c r="AN201" s="42">
        <v>0.09</v>
      </c>
      <c r="AO201" s="43">
        <v>10710.0</v>
      </c>
      <c r="AP201" s="39">
        <v>0.0</v>
      </c>
      <c r="AQ201" s="39">
        <v>0.0</v>
      </c>
      <c r="AR201" s="39">
        <v>0.0</v>
      </c>
      <c r="AS201" s="39">
        <v>2000.0</v>
      </c>
      <c r="AT201" s="39">
        <v>2000.0</v>
      </c>
      <c r="AU201" s="39">
        <v>0.0</v>
      </c>
      <c r="AV201" s="39">
        <v>0.0</v>
      </c>
      <c r="AW201" s="39">
        <v>0.0</v>
      </c>
      <c r="AX201" s="39">
        <v>0.0</v>
      </c>
      <c r="AY201" s="39">
        <v>0.0</v>
      </c>
      <c r="AZ201" s="39">
        <v>0.0</v>
      </c>
      <c r="BA201" s="39">
        <v>0.0</v>
      </c>
      <c r="BB201" s="39">
        <v>0.0</v>
      </c>
      <c r="BC201" s="39">
        <v>0.0</v>
      </c>
      <c r="BD201" s="39">
        <v>0.0</v>
      </c>
      <c r="BE201" s="39">
        <v>0.0</v>
      </c>
      <c r="BF201" s="39">
        <v>0.0</v>
      </c>
      <c r="BG201" s="39">
        <v>0.0</v>
      </c>
      <c r="BH201" s="48"/>
    </row>
    <row r="202">
      <c r="A202" s="38">
        <f t="shared" si="1"/>
        <v>45987</v>
      </c>
      <c r="B202" s="39">
        <v>46.0</v>
      </c>
      <c r="C202" s="39" t="s">
        <v>1863</v>
      </c>
      <c r="D202" s="39">
        <v>1.0</v>
      </c>
      <c r="E202" s="39">
        <v>2.655372432E9</v>
      </c>
      <c r="F202" s="39" t="s">
        <v>100</v>
      </c>
      <c r="G202" s="39" t="s">
        <v>1864</v>
      </c>
      <c r="H202" s="39" t="s">
        <v>1865</v>
      </c>
      <c r="I202" s="40">
        <v>45987.0</v>
      </c>
      <c r="J202" s="40">
        <v>45988.0</v>
      </c>
      <c r="K202" s="40">
        <v>45989.0</v>
      </c>
      <c r="L202" s="48"/>
      <c r="M202" s="48"/>
      <c r="N202" s="48"/>
      <c r="O202" s="39">
        <v>3.967025462E9</v>
      </c>
      <c r="P202" s="39" t="s">
        <v>1218</v>
      </c>
      <c r="Q202" s="39" t="s">
        <v>1219</v>
      </c>
      <c r="R202" s="39">
        <v>1.0</v>
      </c>
      <c r="S202" s="39">
        <v>33531.0</v>
      </c>
      <c r="T202" s="39">
        <v>39900.0</v>
      </c>
      <c r="U202" s="39">
        <v>0.0</v>
      </c>
      <c r="V202" s="39">
        <v>6369.0</v>
      </c>
      <c r="W202" s="39">
        <v>0.0</v>
      </c>
      <c r="X202" s="39">
        <v>39900.0</v>
      </c>
      <c r="Y202" s="39">
        <v>0.0</v>
      </c>
      <c r="Z202" s="39">
        <v>0.0</v>
      </c>
      <c r="AA202" s="39">
        <v>0.0</v>
      </c>
      <c r="AB202" s="39">
        <v>0.0</v>
      </c>
      <c r="AC202" s="39">
        <v>0.0</v>
      </c>
      <c r="AD202" s="39">
        <v>0.0</v>
      </c>
      <c r="AE202" s="39">
        <v>0.0</v>
      </c>
      <c r="AF202" s="39">
        <v>0.0</v>
      </c>
      <c r="AG202" s="39">
        <v>0.0</v>
      </c>
      <c r="AH202" s="39">
        <v>0.0</v>
      </c>
      <c r="AI202" s="39">
        <v>0.0</v>
      </c>
      <c r="AJ202" s="39">
        <v>0.0</v>
      </c>
      <c r="AK202" s="48"/>
      <c r="AL202" s="39">
        <v>4.60948802683E11</v>
      </c>
      <c r="AM202" s="39" t="s">
        <v>1209</v>
      </c>
      <c r="AN202" s="42">
        <v>0.09</v>
      </c>
      <c r="AO202" s="43">
        <v>1359.0</v>
      </c>
      <c r="AP202" s="39">
        <v>0.0</v>
      </c>
      <c r="AQ202" s="39">
        <v>0.0</v>
      </c>
      <c r="AR202" s="39">
        <v>0.0</v>
      </c>
      <c r="AS202" s="39">
        <v>4790.0</v>
      </c>
      <c r="AT202" s="39">
        <v>2000.0</v>
      </c>
      <c r="AU202" s="39">
        <v>2790.0</v>
      </c>
      <c r="AV202" s="39">
        <v>0.0</v>
      </c>
      <c r="AW202" s="39">
        <v>0.0</v>
      </c>
      <c r="AX202" s="39">
        <v>0.0</v>
      </c>
      <c r="AY202" s="39">
        <v>0.0</v>
      </c>
      <c r="AZ202" s="39">
        <v>0.0</v>
      </c>
      <c r="BA202" s="39">
        <v>0.0</v>
      </c>
      <c r="BB202" s="39">
        <v>0.0</v>
      </c>
      <c r="BC202" s="39">
        <v>220.0</v>
      </c>
      <c r="BD202" s="39">
        <v>0.0</v>
      </c>
      <c r="BE202" s="39">
        <v>0.0</v>
      </c>
      <c r="BF202" s="39">
        <v>0.0</v>
      </c>
      <c r="BG202" s="39">
        <v>0.0</v>
      </c>
      <c r="BH202" s="48"/>
    </row>
    <row r="203">
      <c r="A203" s="38">
        <f t="shared" si="1"/>
        <v>45987</v>
      </c>
      <c r="B203" s="39">
        <v>47.0</v>
      </c>
      <c r="C203" s="39" t="s">
        <v>1866</v>
      </c>
      <c r="D203" s="39">
        <v>3.0</v>
      </c>
      <c r="E203" s="39">
        <v>2.655378108E9</v>
      </c>
      <c r="F203" s="39" t="s">
        <v>100</v>
      </c>
      <c r="G203" s="39" t="s">
        <v>1867</v>
      </c>
      <c r="H203" s="39" t="s">
        <v>1868</v>
      </c>
      <c r="I203" s="40">
        <v>45987.0</v>
      </c>
      <c r="J203" s="40">
        <v>45988.0</v>
      </c>
      <c r="K203" s="40">
        <v>45989.0</v>
      </c>
      <c r="L203" s="48"/>
      <c r="M203" s="48"/>
      <c r="N203" s="48"/>
      <c r="O203" s="39">
        <v>6.422434702E9</v>
      </c>
      <c r="P203" s="39" t="s">
        <v>1223</v>
      </c>
      <c r="Q203" s="39" t="s">
        <v>1503</v>
      </c>
      <c r="R203" s="39">
        <v>1.0</v>
      </c>
      <c r="S203" s="39">
        <v>28721.0</v>
      </c>
      <c r="T203" s="39">
        <v>37900.0</v>
      </c>
      <c r="U203" s="39">
        <v>0.0</v>
      </c>
      <c r="V203" s="39">
        <v>9179.0</v>
      </c>
      <c r="W203" s="39">
        <v>0.0</v>
      </c>
      <c r="X203" s="39">
        <v>19900.0</v>
      </c>
      <c r="Y203" s="39">
        <v>18000.0</v>
      </c>
      <c r="Z203" s="39">
        <v>0.0</v>
      </c>
      <c r="AA203" s="39">
        <v>0.0</v>
      </c>
      <c r="AB203" s="39">
        <v>0.0</v>
      </c>
      <c r="AC203" s="39">
        <v>0.0</v>
      </c>
      <c r="AD203" s="39">
        <v>0.0</v>
      </c>
      <c r="AE203" s="39">
        <v>0.0</v>
      </c>
      <c r="AF203" s="39">
        <v>0.0</v>
      </c>
      <c r="AG203" s="39">
        <v>0.0</v>
      </c>
      <c r="AH203" s="39">
        <v>0.0</v>
      </c>
      <c r="AI203" s="39">
        <v>0.0</v>
      </c>
      <c r="AJ203" s="39">
        <v>0.0</v>
      </c>
      <c r="AK203" s="48"/>
      <c r="AL203" s="39">
        <v>4.60948802694E11</v>
      </c>
      <c r="AM203" s="39" t="s">
        <v>1209</v>
      </c>
      <c r="AN203" s="42">
        <v>0.11</v>
      </c>
      <c r="AO203" s="43">
        <v>1355.0</v>
      </c>
      <c r="AP203" s="39">
        <v>0.0</v>
      </c>
      <c r="AQ203" s="39">
        <v>0.0</v>
      </c>
      <c r="AR203" s="39">
        <v>0.0</v>
      </c>
      <c r="AS203" s="39">
        <v>5440.0</v>
      </c>
      <c r="AT203" s="39">
        <v>2000.0</v>
      </c>
      <c r="AU203" s="39">
        <v>3440.0</v>
      </c>
      <c r="AV203" s="39">
        <v>0.0</v>
      </c>
      <c r="AW203" s="39">
        <v>0.0</v>
      </c>
      <c r="AX203" s="39">
        <v>0.0</v>
      </c>
      <c r="AY203" s="39">
        <v>0.0</v>
      </c>
      <c r="AZ203" s="39">
        <v>0.0</v>
      </c>
      <c r="BA203" s="39">
        <v>0.0</v>
      </c>
      <c r="BB203" s="39">
        <v>0.0</v>
      </c>
      <c r="BC203" s="39">
        <v>2384.0</v>
      </c>
      <c r="BD203" s="39">
        <v>0.0</v>
      </c>
      <c r="BE203" s="39">
        <v>0.0</v>
      </c>
      <c r="BF203" s="39">
        <v>0.0</v>
      </c>
      <c r="BG203" s="39">
        <v>0.0</v>
      </c>
      <c r="BH203" s="48"/>
    </row>
    <row r="204">
      <c r="A204" s="38">
        <f t="shared" si="1"/>
        <v>45988</v>
      </c>
      <c r="B204" s="39">
        <v>48.0</v>
      </c>
      <c r="C204" s="39" t="s">
        <v>1869</v>
      </c>
      <c r="D204" s="39">
        <v>1.0</v>
      </c>
      <c r="E204" s="39">
        <v>2.65546209E9</v>
      </c>
      <c r="F204" s="39" t="s">
        <v>100</v>
      </c>
      <c r="G204" s="39" t="s">
        <v>1870</v>
      </c>
      <c r="H204" s="39" t="s">
        <v>1871</v>
      </c>
      <c r="I204" s="40">
        <v>45988.0</v>
      </c>
      <c r="J204" s="40">
        <v>45988.0</v>
      </c>
      <c r="K204" s="40">
        <v>45989.0</v>
      </c>
      <c r="L204" s="48"/>
      <c r="M204" s="48"/>
      <c r="N204" s="48"/>
      <c r="O204" s="39">
        <v>8.718840321E9</v>
      </c>
      <c r="P204" s="39" t="s">
        <v>1473</v>
      </c>
      <c r="Q204" s="39" t="s">
        <v>1474</v>
      </c>
      <c r="R204" s="39">
        <v>1.0</v>
      </c>
      <c r="S204" s="39">
        <v>57150.0</v>
      </c>
      <c r="T204" s="39">
        <v>65000.0</v>
      </c>
      <c r="U204" s="39">
        <v>0.0</v>
      </c>
      <c r="V204" s="39">
        <v>7850.0</v>
      </c>
      <c r="W204" s="39">
        <v>0.0</v>
      </c>
      <c r="X204" s="39">
        <v>65000.0</v>
      </c>
      <c r="Y204" s="39">
        <v>0.0</v>
      </c>
      <c r="Z204" s="39">
        <v>0.0</v>
      </c>
      <c r="AA204" s="39">
        <v>0.0</v>
      </c>
      <c r="AB204" s="39">
        <v>0.0</v>
      </c>
      <c r="AC204" s="39">
        <v>0.0</v>
      </c>
      <c r="AD204" s="39">
        <v>0.0</v>
      </c>
      <c r="AE204" s="39">
        <v>0.0</v>
      </c>
      <c r="AF204" s="39">
        <v>0.0</v>
      </c>
      <c r="AG204" s="39">
        <v>0.0</v>
      </c>
      <c r="AH204" s="39">
        <v>0.0</v>
      </c>
      <c r="AI204" s="39">
        <v>0.0</v>
      </c>
      <c r="AJ204" s="39">
        <v>0.0</v>
      </c>
      <c r="AK204" s="48"/>
      <c r="AL204" s="39">
        <v>5.40641841476E11</v>
      </c>
      <c r="AM204" s="39" t="s">
        <v>1209</v>
      </c>
      <c r="AN204" s="42">
        <v>0.09</v>
      </c>
      <c r="AO204" s="43">
        <v>5850.0</v>
      </c>
      <c r="AP204" s="39">
        <v>0.0</v>
      </c>
      <c r="AQ204" s="39">
        <v>0.0</v>
      </c>
      <c r="AR204" s="39">
        <v>0.0</v>
      </c>
      <c r="AS204" s="39">
        <v>2000.0</v>
      </c>
      <c r="AT204" s="39">
        <v>2000.0</v>
      </c>
      <c r="AU204" s="39">
        <v>0.0</v>
      </c>
      <c r="AV204" s="39">
        <v>0.0</v>
      </c>
      <c r="AW204" s="39">
        <v>0.0</v>
      </c>
      <c r="AX204" s="39">
        <v>0.0</v>
      </c>
      <c r="AY204" s="39">
        <v>0.0</v>
      </c>
      <c r="AZ204" s="39">
        <v>0.0</v>
      </c>
      <c r="BA204" s="39">
        <v>0.0</v>
      </c>
      <c r="BB204" s="39">
        <v>0.0</v>
      </c>
      <c r="BC204" s="39">
        <v>0.0</v>
      </c>
      <c r="BD204" s="39">
        <v>0.0</v>
      </c>
      <c r="BE204" s="39">
        <v>0.0</v>
      </c>
      <c r="BF204" s="39">
        <v>0.0</v>
      </c>
      <c r="BG204" s="39">
        <v>0.0</v>
      </c>
      <c r="BH204" s="48"/>
    </row>
    <row r="205">
      <c r="A205" s="38">
        <f t="shared" si="1"/>
        <v>45988</v>
      </c>
      <c r="B205" s="39">
        <v>49.0</v>
      </c>
      <c r="C205" s="39" t="s">
        <v>1872</v>
      </c>
      <c r="D205" s="39">
        <v>1.0</v>
      </c>
      <c r="E205" s="39">
        <v>2.65549594E9</v>
      </c>
      <c r="F205" s="39" t="s">
        <v>100</v>
      </c>
      <c r="G205" s="39" t="s">
        <v>1873</v>
      </c>
      <c r="H205" s="39" t="s">
        <v>1874</v>
      </c>
      <c r="I205" s="40">
        <v>45988.0</v>
      </c>
      <c r="J205" s="40">
        <v>45988.0</v>
      </c>
      <c r="K205" s="40">
        <v>45990.0</v>
      </c>
      <c r="L205" s="48"/>
      <c r="M205" s="48"/>
      <c r="N205" s="48"/>
      <c r="O205" s="39">
        <v>8.859970134E9</v>
      </c>
      <c r="P205" s="39" t="s">
        <v>1659</v>
      </c>
      <c r="Q205" s="39" t="s">
        <v>1875</v>
      </c>
      <c r="R205" s="39">
        <v>2.0</v>
      </c>
      <c r="S205" s="39">
        <v>15291.0</v>
      </c>
      <c r="T205" s="39">
        <v>17800.0</v>
      </c>
      <c r="U205" s="39">
        <v>0.0</v>
      </c>
      <c r="V205" s="39">
        <v>2509.0</v>
      </c>
      <c r="W205" s="39">
        <v>0.0</v>
      </c>
      <c r="X205" s="39">
        <v>17800.0</v>
      </c>
      <c r="Y205" s="39">
        <v>0.0</v>
      </c>
      <c r="Z205" s="39">
        <v>0.0</v>
      </c>
      <c r="AA205" s="39">
        <v>0.0</v>
      </c>
      <c r="AB205" s="39">
        <v>0.0</v>
      </c>
      <c r="AC205" s="39">
        <v>0.0</v>
      </c>
      <c r="AD205" s="39">
        <v>0.0</v>
      </c>
      <c r="AE205" s="39">
        <v>0.0</v>
      </c>
      <c r="AF205" s="39">
        <v>0.0</v>
      </c>
      <c r="AG205" s="39">
        <v>0.0</v>
      </c>
      <c r="AH205" s="39">
        <v>0.0</v>
      </c>
      <c r="AI205" s="39">
        <v>0.0</v>
      </c>
      <c r="AJ205" s="39">
        <v>0.0</v>
      </c>
      <c r="AK205" s="48"/>
      <c r="AL205" s="39">
        <v>4.60953754623E11</v>
      </c>
      <c r="AM205" s="39" t="s">
        <v>1209</v>
      </c>
      <c r="AN205" s="42">
        <v>0.13</v>
      </c>
      <c r="AO205" s="43">
        <v>2314.0</v>
      </c>
      <c r="AP205" s="39">
        <v>0.0</v>
      </c>
      <c r="AQ205" s="39">
        <v>0.0</v>
      </c>
      <c r="AR205" s="39">
        <v>0.0</v>
      </c>
      <c r="AS205" s="39">
        <v>0.0</v>
      </c>
      <c r="AT205" s="39">
        <v>0.0</v>
      </c>
      <c r="AU205" s="39">
        <v>0.0</v>
      </c>
      <c r="AV205" s="39">
        <v>0.0</v>
      </c>
      <c r="AW205" s="39">
        <v>0.0</v>
      </c>
      <c r="AX205" s="39">
        <v>0.0</v>
      </c>
      <c r="AY205" s="39">
        <v>0.0</v>
      </c>
      <c r="AZ205" s="39">
        <v>0.0</v>
      </c>
      <c r="BA205" s="39">
        <v>0.0</v>
      </c>
      <c r="BB205" s="39">
        <v>0.0</v>
      </c>
      <c r="BC205" s="39">
        <v>195.0</v>
      </c>
      <c r="BD205" s="39">
        <v>0.0</v>
      </c>
      <c r="BE205" s="39">
        <v>0.0</v>
      </c>
      <c r="BF205" s="39">
        <v>0.0</v>
      </c>
      <c r="BG205" s="39">
        <v>0.0</v>
      </c>
      <c r="BH205" s="48"/>
    </row>
    <row r="206">
      <c r="A206" s="38">
        <f t="shared" si="1"/>
        <v>45988</v>
      </c>
      <c r="B206" s="39">
        <v>50.0</v>
      </c>
      <c r="C206" s="39">
        <v>2.02511270182269E16</v>
      </c>
      <c r="D206" s="39">
        <v>1.0</v>
      </c>
      <c r="E206" s="39">
        <v>2.655507342E9</v>
      </c>
      <c r="F206" s="39" t="s">
        <v>100</v>
      </c>
      <c r="G206" s="39" t="s">
        <v>1876</v>
      </c>
      <c r="H206" s="39" t="s">
        <v>1877</v>
      </c>
      <c r="I206" s="40">
        <v>45988.0</v>
      </c>
      <c r="J206" s="40">
        <v>45988.0</v>
      </c>
      <c r="K206" s="40">
        <v>45989.0</v>
      </c>
      <c r="L206" s="48"/>
      <c r="M206" s="48"/>
      <c r="N206" s="48"/>
      <c r="O206" s="39">
        <v>6.363337566E9</v>
      </c>
      <c r="P206" s="39" t="s">
        <v>1301</v>
      </c>
      <c r="Q206" s="39" t="s">
        <v>1219</v>
      </c>
      <c r="R206" s="39">
        <v>1.0</v>
      </c>
      <c r="S206" s="39">
        <v>41360.0</v>
      </c>
      <c r="T206" s="39">
        <v>48000.0</v>
      </c>
      <c r="U206" s="39">
        <v>0.0</v>
      </c>
      <c r="V206" s="39">
        <v>6640.0</v>
      </c>
      <c r="W206" s="39">
        <v>0.0</v>
      </c>
      <c r="X206" s="39">
        <v>48000.0</v>
      </c>
      <c r="Y206" s="39">
        <v>0.0</v>
      </c>
      <c r="Z206" s="39">
        <v>0.0</v>
      </c>
      <c r="AA206" s="39">
        <v>0.0</v>
      </c>
      <c r="AB206" s="39">
        <v>0.0</v>
      </c>
      <c r="AC206" s="39">
        <v>0.0</v>
      </c>
      <c r="AD206" s="39">
        <v>0.0</v>
      </c>
      <c r="AE206" s="39">
        <v>0.0</v>
      </c>
      <c r="AF206" s="39">
        <v>0.0</v>
      </c>
      <c r="AG206" s="39">
        <v>0.0</v>
      </c>
      <c r="AH206" s="39">
        <v>0.0</v>
      </c>
      <c r="AI206" s="39">
        <v>0.0</v>
      </c>
      <c r="AJ206" s="39">
        <v>0.0</v>
      </c>
      <c r="AK206" s="48"/>
      <c r="AL206" s="39">
        <v>4.60953754634E11</v>
      </c>
      <c r="AM206" s="39" t="s">
        <v>1209</v>
      </c>
      <c r="AN206" s="42">
        <v>0.09</v>
      </c>
      <c r="AO206" s="43">
        <v>4320.0</v>
      </c>
      <c r="AP206" s="39">
        <v>0.0</v>
      </c>
      <c r="AQ206" s="39">
        <v>0.0</v>
      </c>
      <c r="AR206" s="39">
        <v>0.0</v>
      </c>
      <c r="AS206" s="39">
        <v>2100.0</v>
      </c>
      <c r="AT206" s="39">
        <v>2100.0</v>
      </c>
      <c r="AU206" s="39">
        <v>0.0</v>
      </c>
      <c r="AV206" s="39">
        <v>0.0</v>
      </c>
      <c r="AW206" s="39">
        <v>0.0</v>
      </c>
      <c r="AX206" s="39">
        <v>0.0</v>
      </c>
      <c r="AY206" s="39">
        <v>0.0</v>
      </c>
      <c r="AZ206" s="39">
        <v>0.0</v>
      </c>
      <c r="BA206" s="39">
        <v>0.0</v>
      </c>
      <c r="BB206" s="39">
        <v>0.0</v>
      </c>
      <c r="BC206" s="39">
        <v>220.0</v>
      </c>
      <c r="BD206" s="39">
        <v>0.0</v>
      </c>
      <c r="BE206" s="39">
        <v>0.0</v>
      </c>
      <c r="BF206" s="39">
        <v>0.0</v>
      </c>
      <c r="BG206" s="39">
        <v>0.0</v>
      </c>
      <c r="BH206" s="48"/>
    </row>
    <row r="207">
      <c r="A207" s="38">
        <f t="shared" si="1"/>
        <v>45988</v>
      </c>
      <c r="B207" s="39">
        <v>51.0</v>
      </c>
      <c r="C207" s="39" t="s">
        <v>1878</v>
      </c>
      <c r="D207" s="39">
        <v>1.0</v>
      </c>
      <c r="E207" s="39">
        <v>2.65551957E9</v>
      </c>
      <c r="F207" s="39" t="s">
        <v>100</v>
      </c>
      <c r="G207" s="39" t="s">
        <v>1879</v>
      </c>
      <c r="H207" s="39" t="s">
        <v>1880</v>
      </c>
      <c r="I207" s="40">
        <v>45988.0</v>
      </c>
      <c r="J207" s="40">
        <v>45988.0</v>
      </c>
      <c r="K207" s="40">
        <v>45989.0</v>
      </c>
      <c r="L207" s="48"/>
      <c r="M207" s="48"/>
      <c r="N207" s="48"/>
      <c r="O207" s="39">
        <v>6.342749718E9</v>
      </c>
      <c r="P207" s="39" t="s">
        <v>1213</v>
      </c>
      <c r="Q207" s="39" t="s">
        <v>1214</v>
      </c>
      <c r="R207" s="39">
        <v>1.0</v>
      </c>
      <c r="S207" s="39">
        <v>23256.0</v>
      </c>
      <c r="T207" s="39">
        <v>59000.0</v>
      </c>
      <c r="U207" s="39">
        <v>0.0</v>
      </c>
      <c r="V207" s="39">
        <v>35744.0</v>
      </c>
      <c r="W207" s="39">
        <v>23256.0</v>
      </c>
      <c r="X207" s="39">
        <v>59000.0</v>
      </c>
      <c r="Y207" s="39">
        <v>0.0</v>
      </c>
      <c r="Z207" s="39">
        <v>0.0</v>
      </c>
      <c r="AA207" s="39">
        <v>0.0</v>
      </c>
      <c r="AB207" s="39">
        <v>0.0</v>
      </c>
      <c r="AC207" s="39">
        <v>0.0</v>
      </c>
      <c r="AD207" s="39">
        <v>0.0</v>
      </c>
      <c r="AE207" s="39">
        <v>0.0</v>
      </c>
      <c r="AF207" s="39">
        <v>0.0</v>
      </c>
      <c r="AG207" s="39">
        <v>0.0</v>
      </c>
      <c r="AH207" s="39">
        <v>0.0</v>
      </c>
      <c r="AI207" s="39">
        <v>0.0</v>
      </c>
      <c r="AJ207" s="39">
        <v>0.0</v>
      </c>
      <c r="AK207" s="48"/>
      <c r="AL207" s="39">
        <v>4.60953754645E11</v>
      </c>
      <c r="AM207" s="39" t="s">
        <v>1209</v>
      </c>
      <c r="AN207" s="42">
        <v>0.09</v>
      </c>
      <c r="AO207" s="43">
        <v>1982.0</v>
      </c>
      <c r="AP207" s="39">
        <v>0.0</v>
      </c>
      <c r="AQ207" s="39">
        <v>0.0</v>
      </c>
      <c r="AR207" s="39">
        <v>0.0</v>
      </c>
      <c r="AS207" s="39">
        <v>33260.0</v>
      </c>
      <c r="AT207" s="39">
        <v>29100.0</v>
      </c>
      <c r="AU207" s="39">
        <v>4160.0</v>
      </c>
      <c r="AV207" s="39">
        <v>0.0</v>
      </c>
      <c r="AW207" s="39">
        <v>0.0</v>
      </c>
      <c r="AX207" s="39">
        <v>0.0</v>
      </c>
      <c r="AY207" s="39">
        <v>0.0</v>
      </c>
      <c r="AZ207" s="39">
        <v>0.0</v>
      </c>
      <c r="BA207" s="39">
        <v>0.0</v>
      </c>
      <c r="BB207" s="39">
        <v>0.0</v>
      </c>
      <c r="BC207" s="39">
        <v>502.0</v>
      </c>
      <c r="BD207" s="39">
        <v>0.0</v>
      </c>
      <c r="BE207" s="39">
        <v>0.0</v>
      </c>
      <c r="BF207" s="39">
        <v>0.0</v>
      </c>
      <c r="BG207" s="39">
        <v>0.0</v>
      </c>
      <c r="BH207" s="48"/>
    </row>
    <row r="208">
      <c r="A208" s="38">
        <f t="shared" si="1"/>
        <v>45988</v>
      </c>
      <c r="B208" s="39">
        <v>52.0</v>
      </c>
      <c r="C208" s="39" t="s">
        <v>1881</v>
      </c>
      <c r="D208" s="39">
        <v>1.0</v>
      </c>
      <c r="E208" s="39">
        <v>2.655521787E9</v>
      </c>
      <c r="F208" s="39" t="s">
        <v>100</v>
      </c>
      <c r="G208" s="39" t="s">
        <v>1882</v>
      </c>
      <c r="H208" s="39" t="s">
        <v>1883</v>
      </c>
      <c r="I208" s="40">
        <v>45988.0</v>
      </c>
      <c r="J208" s="40">
        <v>45988.0</v>
      </c>
      <c r="K208" s="40">
        <v>45989.0</v>
      </c>
      <c r="L208" s="48"/>
      <c r="M208" s="48"/>
      <c r="N208" s="48"/>
      <c r="O208" s="39">
        <v>8.432350374E9</v>
      </c>
      <c r="P208" s="39" t="s">
        <v>1583</v>
      </c>
      <c r="Q208" s="39" t="s">
        <v>1884</v>
      </c>
      <c r="R208" s="39">
        <v>1.0</v>
      </c>
      <c r="S208" s="39">
        <v>24730.0</v>
      </c>
      <c r="T208" s="39">
        <v>29800.0</v>
      </c>
      <c r="U208" s="39">
        <v>0.0</v>
      </c>
      <c r="V208" s="39">
        <v>5070.0</v>
      </c>
      <c r="W208" s="39">
        <v>24730.0</v>
      </c>
      <c r="X208" s="39">
        <v>29800.0</v>
      </c>
      <c r="Y208" s="39">
        <v>0.0</v>
      </c>
      <c r="Z208" s="39">
        <v>0.0</v>
      </c>
      <c r="AA208" s="39">
        <v>0.0</v>
      </c>
      <c r="AB208" s="39">
        <v>0.0</v>
      </c>
      <c r="AC208" s="39">
        <v>0.0</v>
      </c>
      <c r="AD208" s="39">
        <v>0.0</v>
      </c>
      <c r="AE208" s="39">
        <v>0.0</v>
      </c>
      <c r="AF208" s="39">
        <v>0.0</v>
      </c>
      <c r="AG208" s="39">
        <v>0.0</v>
      </c>
      <c r="AH208" s="39">
        <v>0.0</v>
      </c>
      <c r="AI208" s="39">
        <v>0.0</v>
      </c>
      <c r="AJ208" s="39">
        <v>0.0</v>
      </c>
      <c r="AK208" s="48"/>
      <c r="AL208" s="39">
        <v>4.60953754656E11</v>
      </c>
      <c r="AM208" s="39" t="s">
        <v>1209</v>
      </c>
      <c r="AN208" s="42">
        <v>0.09</v>
      </c>
      <c r="AO208" s="43">
        <v>1970.0</v>
      </c>
      <c r="AP208" s="39">
        <v>0.0</v>
      </c>
      <c r="AQ208" s="39">
        <v>0.0</v>
      </c>
      <c r="AR208" s="39">
        <v>0.0</v>
      </c>
      <c r="AS208" s="39">
        <v>2990.0</v>
      </c>
      <c r="AT208" s="39">
        <v>2100.0</v>
      </c>
      <c r="AU208" s="39">
        <v>890.0</v>
      </c>
      <c r="AV208" s="39">
        <v>0.0</v>
      </c>
      <c r="AW208" s="39">
        <v>0.0</v>
      </c>
      <c r="AX208" s="39">
        <v>0.0</v>
      </c>
      <c r="AY208" s="39">
        <v>0.0</v>
      </c>
      <c r="AZ208" s="39">
        <v>0.0</v>
      </c>
      <c r="BA208" s="39">
        <v>0.0</v>
      </c>
      <c r="BB208" s="39">
        <v>0.0</v>
      </c>
      <c r="BC208" s="39">
        <v>110.0</v>
      </c>
      <c r="BD208" s="39">
        <v>0.0</v>
      </c>
      <c r="BE208" s="39">
        <v>0.0</v>
      </c>
      <c r="BF208" s="39">
        <v>0.0</v>
      </c>
      <c r="BG208" s="39">
        <v>0.0</v>
      </c>
      <c r="BH208" s="48"/>
    </row>
    <row r="209">
      <c r="A209" s="38">
        <f t="shared" si="1"/>
        <v>45988</v>
      </c>
      <c r="B209" s="39">
        <v>53.0</v>
      </c>
      <c r="C209" s="39" t="s">
        <v>1885</v>
      </c>
      <c r="D209" s="39">
        <v>2.0</v>
      </c>
      <c r="E209" s="39">
        <v>2.655522333E9</v>
      </c>
      <c r="F209" s="39" t="s">
        <v>100</v>
      </c>
      <c r="G209" s="39" t="s">
        <v>1886</v>
      </c>
      <c r="H209" s="39" t="s">
        <v>1887</v>
      </c>
      <c r="I209" s="40">
        <v>45988.0</v>
      </c>
      <c r="J209" s="40">
        <v>45988.0</v>
      </c>
      <c r="K209" s="40">
        <v>45989.0</v>
      </c>
      <c r="L209" s="48"/>
      <c r="M209" s="48"/>
      <c r="N209" s="48"/>
      <c r="O209" s="39">
        <v>5.466907344E9</v>
      </c>
      <c r="P209" s="39" t="s">
        <v>1357</v>
      </c>
      <c r="Q209" s="39" t="s">
        <v>1358</v>
      </c>
      <c r="R209" s="39">
        <v>1.0</v>
      </c>
      <c r="S209" s="39">
        <v>60590.0</v>
      </c>
      <c r="T209" s="39">
        <v>70000.0</v>
      </c>
      <c r="U209" s="39">
        <v>0.0</v>
      </c>
      <c r="V209" s="39">
        <v>9410.0</v>
      </c>
      <c r="W209" s="39">
        <v>60590.0</v>
      </c>
      <c r="X209" s="39">
        <v>70000.0</v>
      </c>
      <c r="Y209" s="39">
        <v>0.0</v>
      </c>
      <c r="Z209" s="39">
        <v>0.0</v>
      </c>
      <c r="AA209" s="39">
        <v>0.0</v>
      </c>
      <c r="AB209" s="39">
        <v>0.0</v>
      </c>
      <c r="AC209" s="39">
        <v>0.0</v>
      </c>
      <c r="AD209" s="39">
        <v>0.0</v>
      </c>
      <c r="AE209" s="39">
        <v>0.0</v>
      </c>
      <c r="AF209" s="39">
        <v>0.0</v>
      </c>
      <c r="AG209" s="39">
        <v>0.0</v>
      </c>
      <c r="AH209" s="39">
        <v>0.0</v>
      </c>
      <c r="AI209" s="39">
        <v>0.0</v>
      </c>
      <c r="AJ209" s="39">
        <v>0.0</v>
      </c>
      <c r="AK209" s="48"/>
      <c r="AL209" s="39">
        <v>4.6095375466E11</v>
      </c>
      <c r="AM209" s="39" t="s">
        <v>1209</v>
      </c>
      <c r="AN209" s="42">
        <v>0.09</v>
      </c>
      <c r="AO209" s="43">
        <v>6300.0</v>
      </c>
      <c r="AP209" s="39">
        <v>0.0</v>
      </c>
      <c r="AQ209" s="39">
        <v>0.0</v>
      </c>
      <c r="AR209" s="39">
        <v>0.0</v>
      </c>
      <c r="AS209" s="39">
        <v>3000.0</v>
      </c>
      <c r="AT209" s="39">
        <v>3000.0</v>
      </c>
      <c r="AU209" s="39">
        <v>0.0</v>
      </c>
      <c r="AV209" s="39">
        <v>0.0</v>
      </c>
      <c r="AW209" s="39">
        <v>0.0</v>
      </c>
      <c r="AX209" s="39">
        <v>0.0</v>
      </c>
      <c r="AY209" s="39">
        <v>0.0</v>
      </c>
      <c r="AZ209" s="39">
        <v>0.0</v>
      </c>
      <c r="BA209" s="39">
        <v>0.0</v>
      </c>
      <c r="BB209" s="39">
        <v>0.0</v>
      </c>
      <c r="BC209" s="39">
        <v>110.0</v>
      </c>
      <c r="BD209" s="39">
        <v>0.0</v>
      </c>
      <c r="BE209" s="39">
        <v>0.0</v>
      </c>
      <c r="BF209" s="39">
        <v>0.0</v>
      </c>
      <c r="BG209" s="39">
        <v>0.0</v>
      </c>
      <c r="BH209" s="48"/>
    </row>
    <row r="210">
      <c r="A210" s="38">
        <f t="shared" si="1"/>
        <v>45988</v>
      </c>
      <c r="B210" s="39">
        <v>54.0</v>
      </c>
      <c r="C210" s="39" t="s">
        <v>1888</v>
      </c>
      <c r="D210" s="39">
        <v>1.0</v>
      </c>
      <c r="E210" s="39">
        <v>2.65554401E9</v>
      </c>
      <c r="F210" s="39" t="s">
        <v>100</v>
      </c>
      <c r="G210" s="39" t="s">
        <v>1889</v>
      </c>
      <c r="H210" s="39" t="s">
        <v>1890</v>
      </c>
      <c r="I210" s="40">
        <v>45988.0</v>
      </c>
      <c r="J210" s="40">
        <v>45988.0</v>
      </c>
      <c r="K210" s="40">
        <v>45989.0</v>
      </c>
      <c r="L210" s="48"/>
      <c r="M210" s="48"/>
      <c r="N210" s="48"/>
      <c r="O210" s="39">
        <v>8.71379692E9</v>
      </c>
      <c r="P210" s="39" t="s">
        <v>1478</v>
      </c>
      <c r="Q210" s="39" t="s">
        <v>1579</v>
      </c>
      <c r="R210" s="39">
        <v>1.0</v>
      </c>
      <c r="S210" s="39">
        <v>105003.0</v>
      </c>
      <c r="T210" s="39">
        <v>119000.0</v>
      </c>
      <c r="U210" s="39">
        <v>0.0</v>
      </c>
      <c r="V210" s="39">
        <v>13997.0</v>
      </c>
      <c r="W210" s="39">
        <v>0.0</v>
      </c>
      <c r="X210" s="39">
        <v>109000.0</v>
      </c>
      <c r="Y210" s="39">
        <v>10000.0</v>
      </c>
      <c r="Z210" s="39">
        <v>0.0</v>
      </c>
      <c r="AA210" s="39">
        <v>0.0</v>
      </c>
      <c r="AB210" s="39">
        <v>0.0</v>
      </c>
      <c r="AC210" s="39">
        <v>0.0</v>
      </c>
      <c r="AD210" s="39">
        <v>0.0</v>
      </c>
      <c r="AE210" s="39">
        <v>0.0</v>
      </c>
      <c r="AF210" s="39">
        <v>0.0</v>
      </c>
      <c r="AG210" s="39">
        <v>0.0</v>
      </c>
      <c r="AH210" s="39">
        <v>0.0</v>
      </c>
      <c r="AI210" s="39">
        <v>0.0</v>
      </c>
      <c r="AJ210" s="39">
        <v>0.0</v>
      </c>
      <c r="AK210" s="48"/>
      <c r="AL210" s="39">
        <v>4.60953814576E11</v>
      </c>
      <c r="AM210" s="39" t="s">
        <v>1209</v>
      </c>
      <c r="AN210" s="42">
        <v>0.09</v>
      </c>
      <c r="AO210" s="43">
        <v>10710.0</v>
      </c>
      <c r="AP210" s="39">
        <v>0.0</v>
      </c>
      <c r="AQ210" s="39">
        <v>0.0</v>
      </c>
      <c r="AR210" s="39">
        <v>0.0</v>
      </c>
      <c r="AS210" s="39">
        <v>2000.0</v>
      </c>
      <c r="AT210" s="39">
        <v>2000.0</v>
      </c>
      <c r="AU210" s="39">
        <v>0.0</v>
      </c>
      <c r="AV210" s="39">
        <v>0.0</v>
      </c>
      <c r="AW210" s="39">
        <v>0.0</v>
      </c>
      <c r="AX210" s="39">
        <v>0.0</v>
      </c>
      <c r="AY210" s="39">
        <v>0.0</v>
      </c>
      <c r="AZ210" s="39">
        <v>0.0</v>
      </c>
      <c r="BA210" s="39">
        <v>0.0</v>
      </c>
      <c r="BB210" s="39">
        <v>0.0</v>
      </c>
      <c r="BC210" s="39">
        <v>1287.0</v>
      </c>
      <c r="BD210" s="39">
        <v>0.0</v>
      </c>
      <c r="BE210" s="39">
        <v>0.0</v>
      </c>
      <c r="BF210" s="39">
        <v>0.0</v>
      </c>
      <c r="BG210" s="39">
        <v>0.0</v>
      </c>
      <c r="BH210" s="48"/>
    </row>
    <row r="211">
      <c r="A211" s="38">
        <f t="shared" si="1"/>
        <v>45988</v>
      </c>
      <c r="B211" s="39">
        <v>55.0</v>
      </c>
      <c r="C211" s="39" t="s">
        <v>1891</v>
      </c>
      <c r="D211" s="39">
        <v>6.0</v>
      </c>
      <c r="E211" s="39">
        <v>2.655558084E9</v>
      </c>
      <c r="F211" s="39" t="s">
        <v>100</v>
      </c>
      <c r="G211" s="39" t="s">
        <v>1892</v>
      </c>
      <c r="H211" s="39" t="s">
        <v>1893</v>
      </c>
      <c r="I211" s="40">
        <v>45988.0</v>
      </c>
      <c r="J211" s="40">
        <v>45988.0</v>
      </c>
      <c r="K211" s="40">
        <v>45989.0</v>
      </c>
      <c r="L211" s="48"/>
      <c r="M211" s="48"/>
      <c r="N211" s="48"/>
      <c r="O211" s="39">
        <v>5.370879772E9</v>
      </c>
      <c r="P211" s="39" t="s">
        <v>1246</v>
      </c>
      <c r="Q211" s="39" t="s">
        <v>1894</v>
      </c>
      <c r="R211" s="39">
        <v>2.0</v>
      </c>
      <c r="S211" s="39">
        <v>53720.0</v>
      </c>
      <c r="T211" s="39">
        <v>66000.0</v>
      </c>
      <c r="U211" s="39">
        <v>0.0</v>
      </c>
      <c r="V211" s="39">
        <v>12280.0</v>
      </c>
      <c r="W211" s="39">
        <v>0.0</v>
      </c>
      <c r="X211" s="39">
        <v>66000.0</v>
      </c>
      <c r="Y211" s="39">
        <v>0.0</v>
      </c>
      <c r="Z211" s="39">
        <v>0.0</v>
      </c>
      <c r="AA211" s="39">
        <v>0.0</v>
      </c>
      <c r="AB211" s="39">
        <v>0.0</v>
      </c>
      <c r="AC211" s="39">
        <v>0.0</v>
      </c>
      <c r="AD211" s="39">
        <v>0.0</v>
      </c>
      <c r="AE211" s="39">
        <v>0.0</v>
      </c>
      <c r="AF211" s="39">
        <v>0.0</v>
      </c>
      <c r="AG211" s="39">
        <v>0.0</v>
      </c>
      <c r="AH211" s="39">
        <v>0.0</v>
      </c>
      <c r="AI211" s="39">
        <v>0.0</v>
      </c>
      <c r="AJ211" s="39">
        <v>0.0</v>
      </c>
      <c r="AK211" s="48"/>
      <c r="AL211" s="39">
        <v>4.60955792592E11</v>
      </c>
      <c r="AM211" s="39" t="s">
        <v>1209</v>
      </c>
      <c r="AN211" s="42">
        <v>0.09</v>
      </c>
      <c r="AO211" s="43">
        <v>2260.0</v>
      </c>
      <c r="AP211" s="39">
        <v>0.0</v>
      </c>
      <c r="AQ211" s="39">
        <v>0.0</v>
      </c>
      <c r="AR211" s="39">
        <v>0.0</v>
      </c>
      <c r="AS211" s="39">
        <v>6800.0</v>
      </c>
      <c r="AT211" s="39">
        <v>2200.0</v>
      </c>
      <c r="AU211" s="39">
        <v>4600.0</v>
      </c>
      <c r="AV211" s="39">
        <v>0.0</v>
      </c>
      <c r="AW211" s="39">
        <v>3000.0</v>
      </c>
      <c r="AX211" s="39">
        <v>0.0</v>
      </c>
      <c r="AY211" s="39">
        <v>0.0</v>
      </c>
      <c r="AZ211" s="39">
        <v>0.0</v>
      </c>
      <c r="BA211" s="39">
        <v>0.0</v>
      </c>
      <c r="BB211" s="39">
        <v>0.0</v>
      </c>
      <c r="BC211" s="39">
        <v>220.0</v>
      </c>
      <c r="BD211" s="39">
        <v>0.0</v>
      </c>
      <c r="BE211" s="39">
        <v>0.0</v>
      </c>
      <c r="BF211" s="39">
        <v>0.0</v>
      </c>
      <c r="BG211" s="39">
        <v>0.0</v>
      </c>
      <c r="BH211" s="48"/>
    </row>
    <row r="212">
      <c r="A212" s="38">
        <f t="shared" si="1"/>
        <v>45988</v>
      </c>
      <c r="B212" s="39">
        <v>56.0</v>
      </c>
      <c r="C212" s="39" t="s">
        <v>1895</v>
      </c>
      <c r="D212" s="39">
        <v>1.0</v>
      </c>
      <c r="E212" s="39">
        <v>2.655645244E9</v>
      </c>
      <c r="F212" s="39" t="s">
        <v>100</v>
      </c>
      <c r="G212" s="39" t="s">
        <v>1896</v>
      </c>
      <c r="H212" s="39" t="s">
        <v>1897</v>
      </c>
      <c r="I212" s="40">
        <v>45988.0</v>
      </c>
      <c r="J212" s="40">
        <v>45989.0</v>
      </c>
      <c r="K212" s="40">
        <v>45990.0</v>
      </c>
      <c r="L212" s="48"/>
      <c r="M212" s="48"/>
      <c r="N212" s="48"/>
      <c r="O212" s="39">
        <v>6.546161396E9</v>
      </c>
      <c r="P212" s="39" t="s">
        <v>1231</v>
      </c>
      <c r="Q212" s="39" t="s">
        <v>1599</v>
      </c>
      <c r="R212" s="39">
        <v>2.0</v>
      </c>
      <c r="S212" s="39">
        <v>25528.0</v>
      </c>
      <c r="T212" s="39">
        <v>36000.0</v>
      </c>
      <c r="U212" s="39">
        <v>0.0</v>
      </c>
      <c r="V212" s="39">
        <v>10472.0</v>
      </c>
      <c r="W212" s="39">
        <v>25528.0</v>
      </c>
      <c r="X212" s="39">
        <v>36000.0</v>
      </c>
      <c r="Y212" s="39">
        <v>0.0</v>
      </c>
      <c r="Z212" s="39">
        <v>0.0</v>
      </c>
      <c r="AA212" s="39">
        <v>0.0</v>
      </c>
      <c r="AB212" s="39">
        <v>0.0</v>
      </c>
      <c r="AC212" s="39">
        <v>0.0</v>
      </c>
      <c r="AD212" s="39">
        <v>0.0</v>
      </c>
      <c r="AE212" s="39">
        <v>0.0</v>
      </c>
      <c r="AF212" s="39">
        <v>0.0</v>
      </c>
      <c r="AG212" s="39">
        <v>0.0</v>
      </c>
      <c r="AH212" s="39">
        <v>0.0</v>
      </c>
      <c r="AI212" s="39">
        <v>0.0</v>
      </c>
      <c r="AJ212" s="39">
        <v>0.0</v>
      </c>
      <c r="AK212" s="48"/>
      <c r="AL212" s="39">
        <v>4.60959061931E11</v>
      </c>
      <c r="AM212" s="39" t="s">
        <v>1209</v>
      </c>
      <c r="AN212" s="42">
        <v>0.11</v>
      </c>
      <c r="AO212" s="43">
        <v>2248.0</v>
      </c>
      <c r="AP212" s="39">
        <v>0.0</v>
      </c>
      <c r="AQ212" s="39">
        <v>0.0</v>
      </c>
      <c r="AR212" s="39">
        <v>0.0</v>
      </c>
      <c r="AS212" s="39">
        <v>5560.0</v>
      </c>
      <c r="AT212" s="39">
        <v>3420.0</v>
      </c>
      <c r="AU212" s="39">
        <v>2140.0</v>
      </c>
      <c r="AV212" s="39">
        <v>0.0</v>
      </c>
      <c r="AW212" s="39">
        <v>2000.0</v>
      </c>
      <c r="AX212" s="39">
        <v>0.0</v>
      </c>
      <c r="AY212" s="39">
        <v>0.0</v>
      </c>
      <c r="AZ212" s="39">
        <v>0.0</v>
      </c>
      <c r="BA212" s="39">
        <v>0.0</v>
      </c>
      <c r="BB212" s="39">
        <v>0.0</v>
      </c>
      <c r="BC212" s="39">
        <v>664.0</v>
      </c>
      <c r="BD212" s="39">
        <v>0.0</v>
      </c>
      <c r="BE212" s="39">
        <v>0.0</v>
      </c>
      <c r="BF212" s="39">
        <v>0.0</v>
      </c>
      <c r="BG212" s="39">
        <v>0.0</v>
      </c>
      <c r="BH212" s="48"/>
    </row>
    <row r="213">
      <c r="A213" s="38">
        <f t="shared" si="1"/>
        <v>45989</v>
      </c>
      <c r="B213" s="39">
        <v>57.0</v>
      </c>
      <c r="C213" s="39" t="s">
        <v>1898</v>
      </c>
      <c r="D213" s="39">
        <v>1.0</v>
      </c>
      <c r="E213" s="39">
        <v>2.655692147E9</v>
      </c>
      <c r="F213" s="39" t="s">
        <v>100</v>
      </c>
      <c r="G213" s="39" t="s">
        <v>1899</v>
      </c>
      <c r="H213" s="39" t="s">
        <v>1900</v>
      </c>
      <c r="I213" s="40">
        <v>45989.0</v>
      </c>
      <c r="J213" s="40">
        <v>45989.0</v>
      </c>
      <c r="K213" s="40">
        <v>45990.0</v>
      </c>
      <c r="L213" s="48"/>
      <c r="M213" s="48"/>
      <c r="N213" s="48"/>
      <c r="O213" s="39">
        <v>8.71379692E9</v>
      </c>
      <c r="P213" s="39" t="s">
        <v>1478</v>
      </c>
      <c r="Q213" s="39" t="s">
        <v>1479</v>
      </c>
      <c r="R213" s="39">
        <v>1.0</v>
      </c>
      <c r="S213" s="39">
        <v>97190.0</v>
      </c>
      <c r="T213" s="39">
        <v>109000.0</v>
      </c>
      <c r="U213" s="39">
        <v>0.0</v>
      </c>
      <c r="V213" s="39">
        <v>11810.0</v>
      </c>
      <c r="W213" s="39">
        <v>0.0</v>
      </c>
      <c r="X213" s="39">
        <v>109000.0</v>
      </c>
      <c r="Y213" s="39">
        <v>0.0</v>
      </c>
      <c r="Z213" s="39">
        <v>0.0</v>
      </c>
      <c r="AA213" s="39">
        <v>0.0</v>
      </c>
      <c r="AB213" s="39">
        <v>0.0</v>
      </c>
      <c r="AC213" s="39">
        <v>0.0</v>
      </c>
      <c r="AD213" s="39">
        <v>0.0</v>
      </c>
      <c r="AE213" s="39">
        <v>0.0</v>
      </c>
      <c r="AF213" s="39">
        <v>0.0</v>
      </c>
      <c r="AG213" s="39">
        <v>0.0</v>
      </c>
      <c r="AH213" s="39">
        <v>0.0</v>
      </c>
      <c r="AI213" s="39">
        <v>0.0</v>
      </c>
      <c r="AJ213" s="39">
        <v>0.0</v>
      </c>
      <c r="AK213" s="48"/>
      <c r="AL213" s="39">
        <v>4.60959061953E11</v>
      </c>
      <c r="AM213" s="39" t="s">
        <v>1209</v>
      </c>
      <c r="AN213" s="42">
        <v>0.09</v>
      </c>
      <c r="AO213" s="43">
        <v>9810.0</v>
      </c>
      <c r="AP213" s="39">
        <v>0.0</v>
      </c>
      <c r="AQ213" s="39">
        <v>0.0</v>
      </c>
      <c r="AR213" s="39">
        <v>0.0</v>
      </c>
      <c r="AS213" s="39">
        <v>2000.0</v>
      </c>
      <c r="AT213" s="39">
        <v>2000.0</v>
      </c>
      <c r="AU213" s="39">
        <v>0.0</v>
      </c>
      <c r="AV213" s="39">
        <v>0.0</v>
      </c>
      <c r="AW213" s="39">
        <v>0.0</v>
      </c>
      <c r="AX213" s="39">
        <v>0.0</v>
      </c>
      <c r="AY213" s="39">
        <v>0.0</v>
      </c>
      <c r="AZ213" s="39">
        <v>0.0</v>
      </c>
      <c r="BA213" s="39">
        <v>0.0</v>
      </c>
      <c r="BB213" s="39">
        <v>0.0</v>
      </c>
      <c r="BC213" s="39">
        <v>0.0</v>
      </c>
      <c r="BD213" s="39">
        <v>0.0</v>
      </c>
      <c r="BE213" s="39">
        <v>0.0</v>
      </c>
      <c r="BF213" s="39">
        <v>0.0</v>
      </c>
      <c r="BG213" s="39">
        <v>0.0</v>
      </c>
      <c r="BH213" s="48"/>
    </row>
    <row r="214">
      <c r="A214" s="38">
        <f t="shared" si="1"/>
        <v>45989</v>
      </c>
      <c r="B214" s="39">
        <v>58.0</v>
      </c>
      <c r="C214" s="39" t="s">
        <v>1901</v>
      </c>
      <c r="D214" s="39">
        <v>1.0</v>
      </c>
      <c r="E214" s="39">
        <v>2.655711004E9</v>
      </c>
      <c r="F214" s="39" t="s">
        <v>100</v>
      </c>
      <c r="G214" s="39" t="s">
        <v>1902</v>
      </c>
      <c r="H214" s="39" t="s">
        <v>1903</v>
      </c>
      <c r="I214" s="40">
        <v>45989.0</v>
      </c>
      <c r="J214" s="40">
        <v>45989.0</v>
      </c>
      <c r="K214" s="40">
        <v>45990.0</v>
      </c>
      <c r="L214" s="48"/>
      <c r="M214" s="48"/>
      <c r="N214" s="48"/>
      <c r="O214" s="39">
        <v>5.370879772E9</v>
      </c>
      <c r="P214" s="39" t="s">
        <v>1246</v>
      </c>
      <c r="Q214" s="39" t="s">
        <v>1353</v>
      </c>
      <c r="R214" s="39">
        <v>1.0</v>
      </c>
      <c r="S214" s="39">
        <v>27514.0</v>
      </c>
      <c r="T214" s="39">
        <v>33000.0</v>
      </c>
      <c r="U214" s="39">
        <v>0.0</v>
      </c>
      <c r="V214" s="39">
        <v>5486.0</v>
      </c>
      <c r="W214" s="39">
        <v>0.0</v>
      </c>
      <c r="X214" s="39">
        <v>33000.0</v>
      </c>
      <c r="Y214" s="39">
        <v>0.0</v>
      </c>
      <c r="Z214" s="39">
        <v>0.0</v>
      </c>
      <c r="AA214" s="39">
        <v>0.0</v>
      </c>
      <c r="AB214" s="39">
        <v>0.0</v>
      </c>
      <c r="AC214" s="39">
        <v>0.0</v>
      </c>
      <c r="AD214" s="39">
        <v>0.0</v>
      </c>
      <c r="AE214" s="39">
        <v>0.0</v>
      </c>
      <c r="AF214" s="39">
        <v>0.0</v>
      </c>
      <c r="AG214" s="39">
        <v>0.0</v>
      </c>
      <c r="AH214" s="39">
        <v>0.0</v>
      </c>
      <c r="AI214" s="39">
        <v>0.0</v>
      </c>
      <c r="AJ214" s="39">
        <v>0.0</v>
      </c>
      <c r="AK214" s="48"/>
      <c r="AL214" s="39">
        <v>4.6096322517E11</v>
      </c>
      <c r="AM214" s="39" t="s">
        <v>1209</v>
      </c>
      <c r="AN214" s="42">
        <v>0.09</v>
      </c>
      <c r="AO214" s="43">
        <v>2186.0</v>
      </c>
      <c r="AP214" s="39">
        <v>0.0</v>
      </c>
      <c r="AQ214" s="39">
        <v>0.0</v>
      </c>
      <c r="AR214" s="39">
        <v>0.0</v>
      </c>
      <c r="AS214" s="39">
        <v>3080.0</v>
      </c>
      <c r="AT214" s="39">
        <v>2100.0</v>
      </c>
      <c r="AU214" s="39">
        <v>980.0</v>
      </c>
      <c r="AV214" s="39">
        <v>0.0</v>
      </c>
      <c r="AW214" s="39">
        <v>0.0</v>
      </c>
      <c r="AX214" s="39">
        <v>0.0</v>
      </c>
      <c r="AY214" s="39">
        <v>0.0</v>
      </c>
      <c r="AZ214" s="39">
        <v>0.0</v>
      </c>
      <c r="BA214" s="39">
        <v>0.0</v>
      </c>
      <c r="BB214" s="39">
        <v>0.0</v>
      </c>
      <c r="BC214" s="39">
        <v>220.0</v>
      </c>
      <c r="BD214" s="39">
        <v>0.0</v>
      </c>
      <c r="BE214" s="39">
        <v>0.0</v>
      </c>
      <c r="BF214" s="39">
        <v>0.0</v>
      </c>
      <c r="BG214" s="39">
        <v>0.0</v>
      </c>
      <c r="BH214" s="48"/>
    </row>
    <row r="215">
      <c r="A215" s="38">
        <f t="shared" si="1"/>
        <v>45989</v>
      </c>
      <c r="B215" s="39">
        <v>59.0</v>
      </c>
      <c r="C215" s="39" t="s">
        <v>1904</v>
      </c>
      <c r="D215" s="39">
        <v>1.0</v>
      </c>
      <c r="E215" s="39">
        <v>2.655729874E9</v>
      </c>
      <c r="F215" s="39" t="s">
        <v>100</v>
      </c>
      <c r="G215" s="39" t="s">
        <v>1905</v>
      </c>
      <c r="H215" s="39" t="s">
        <v>1906</v>
      </c>
      <c r="I215" s="40">
        <v>45989.0</v>
      </c>
      <c r="J215" s="40">
        <v>45989.0</v>
      </c>
      <c r="K215" s="40">
        <v>45990.0</v>
      </c>
      <c r="L215" s="48"/>
      <c r="M215" s="48"/>
      <c r="N215" s="48"/>
      <c r="O215" s="39">
        <v>8.715578135E9</v>
      </c>
      <c r="P215" s="39" t="s">
        <v>1258</v>
      </c>
      <c r="Q215" s="39" t="s">
        <v>1907</v>
      </c>
      <c r="R215" s="39">
        <v>1.0</v>
      </c>
      <c r="S215" s="39">
        <v>96013.0</v>
      </c>
      <c r="T215" s="39">
        <v>109000.0</v>
      </c>
      <c r="U215" s="39">
        <v>0.0</v>
      </c>
      <c r="V215" s="39">
        <v>12987.0</v>
      </c>
      <c r="W215" s="39">
        <v>0.0</v>
      </c>
      <c r="X215" s="39">
        <v>109000.0</v>
      </c>
      <c r="Y215" s="39">
        <v>0.0</v>
      </c>
      <c r="Z215" s="39">
        <v>0.0</v>
      </c>
      <c r="AA215" s="39">
        <v>0.0</v>
      </c>
      <c r="AB215" s="39">
        <v>0.0</v>
      </c>
      <c r="AC215" s="39">
        <v>0.0</v>
      </c>
      <c r="AD215" s="39">
        <v>0.0</v>
      </c>
      <c r="AE215" s="39">
        <v>0.0</v>
      </c>
      <c r="AF215" s="39">
        <v>0.0</v>
      </c>
      <c r="AG215" s="39">
        <v>0.0</v>
      </c>
      <c r="AH215" s="39">
        <v>0.0</v>
      </c>
      <c r="AI215" s="39">
        <v>0.0</v>
      </c>
      <c r="AJ215" s="39">
        <v>0.0</v>
      </c>
      <c r="AK215" s="48"/>
      <c r="AL215" s="39">
        <v>5.30646910386E11</v>
      </c>
      <c r="AM215" s="39" t="s">
        <v>1209</v>
      </c>
      <c r="AN215" s="42">
        <v>0.09</v>
      </c>
      <c r="AO215" s="43">
        <v>9810.0</v>
      </c>
      <c r="AP215" s="39">
        <v>0.0</v>
      </c>
      <c r="AQ215" s="39">
        <v>0.0</v>
      </c>
      <c r="AR215" s="39">
        <v>0.0</v>
      </c>
      <c r="AS215" s="39">
        <v>2000.0</v>
      </c>
      <c r="AT215" s="39">
        <v>2000.0</v>
      </c>
      <c r="AU215" s="39">
        <v>0.0</v>
      </c>
      <c r="AV215" s="39">
        <v>0.0</v>
      </c>
      <c r="AW215" s="39">
        <v>0.0</v>
      </c>
      <c r="AX215" s="39">
        <v>0.0</v>
      </c>
      <c r="AY215" s="39">
        <v>0.0</v>
      </c>
      <c r="AZ215" s="39">
        <v>0.0</v>
      </c>
      <c r="BA215" s="39">
        <v>0.0</v>
      </c>
      <c r="BB215" s="39">
        <v>0.0</v>
      </c>
      <c r="BC215" s="39">
        <v>1177.0</v>
      </c>
      <c r="BD215" s="39">
        <v>0.0</v>
      </c>
      <c r="BE215" s="39">
        <v>0.0</v>
      </c>
      <c r="BF215" s="39">
        <v>0.0</v>
      </c>
      <c r="BG215" s="39">
        <v>0.0</v>
      </c>
      <c r="BH215" s="48"/>
    </row>
    <row r="216">
      <c r="A216" s="38">
        <f t="shared" si="1"/>
        <v>45989</v>
      </c>
      <c r="B216" s="39">
        <v>60.0</v>
      </c>
      <c r="C216" s="39" t="s">
        <v>1908</v>
      </c>
      <c r="D216" s="39">
        <v>1.0</v>
      </c>
      <c r="E216" s="39">
        <v>2.655734911E9</v>
      </c>
      <c r="F216" s="39" t="s">
        <v>100</v>
      </c>
      <c r="G216" s="39" t="s">
        <v>1909</v>
      </c>
      <c r="H216" s="39" t="s">
        <v>1910</v>
      </c>
      <c r="I216" s="40">
        <v>45989.0</v>
      </c>
      <c r="J216" s="40">
        <v>45989.0</v>
      </c>
      <c r="K216" s="40">
        <v>45990.0</v>
      </c>
      <c r="L216" s="48"/>
      <c r="M216" s="48"/>
      <c r="N216" s="48"/>
      <c r="O216" s="39">
        <v>6.342749718E9</v>
      </c>
      <c r="P216" s="39" t="s">
        <v>1213</v>
      </c>
      <c r="Q216" s="39" t="s">
        <v>1283</v>
      </c>
      <c r="R216" s="39">
        <v>1.0</v>
      </c>
      <c r="S216" s="39">
        <v>22150.0</v>
      </c>
      <c r="T216" s="39">
        <v>59000.0</v>
      </c>
      <c r="U216" s="39">
        <v>0.0</v>
      </c>
      <c r="V216" s="39">
        <v>36850.0</v>
      </c>
      <c r="W216" s="39">
        <v>22150.0</v>
      </c>
      <c r="X216" s="39">
        <v>59000.0</v>
      </c>
      <c r="Y216" s="39">
        <v>0.0</v>
      </c>
      <c r="Z216" s="39">
        <v>0.0</v>
      </c>
      <c r="AA216" s="39">
        <v>0.0</v>
      </c>
      <c r="AB216" s="39">
        <v>0.0</v>
      </c>
      <c r="AC216" s="39">
        <v>0.0</v>
      </c>
      <c r="AD216" s="39">
        <v>0.0</v>
      </c>
      <c r="AE216" s="39">
        <v>0.0</v>
      </c>
      <c r="AF216" s="39">
        <v>0.0</v>
      </c>
      <c r="AG216" s="39">
        <v>0.0</v>
      </c>
      <c r="AH216" s="39">
        <v>0.0</v>
      </c>
      <c r="AI216" s="39">
        <v>0.0</v>
      </c>
      <c r="AJ216" s="39">
        <v>0.0</v>
      </c>
      <c r="AK216" s="48"/>
      <c r="AL216" s="39">
        <v>4.60963225192E11</v>
      </c>
      <c r="AM216" s="39" t="s">
        <v>1209</v>
      </c>
      <c r="AN216" s="42">
        <v>0.09</v>
      </c>
      <c r="AO216" s="43">
        <v>3710.0</v>
      </c>
      <c r="AP216" s="39">
        <v>0.0</v>
      </c>
      <c r="AQ216" s="39">
        <v>0.0</v>
      </c>
      <c r="AR216" s="39">
        <v>0.0</v>
      </c>
      <c r="AS216" s="39">
        <v>31100.0</v>
      </c>
      <c r="AT216" s="39">
        <v>29100.0</v>
      </c>
      <c r="AU216" s="39">
        <v>2000.0</v>
      </c>
      <c r="AV216" s="39">
        <v>0.0</v>
      </c>
      <c r="AW216" s="39">
        <v>0.0</v>
      </c>
      <c r="AX216" s="39">
        <v>0.0</v>
      </c>
      <c r="AY216" s="39">
        <v>0.0</v>
      </c>
      <c r="AZ216" s="39">
        <v>0.0</v>
      </c>
      <c r="BA216" s="39">
        <v>0.0</v>
      </c>
      <c r="BB216" s="39">
        <v>0.0</v>
      </c>
      <c r="BC216" s="39">
        <v>2040.0</v>
      </c>
      <c r="BD216" s="39">
        <v>0.0</v>
      </c>
      <c r="BE216" s="39">
        <v>0.0</v>
      </c>
      <c r="BF216" s="39">
        <v>0.0</v>
      </c>
      <c r="BG216" s="39">
        <v>0.0</v>
      </c>
      <c r="BH216" s="48"/>
    </row>
    <row r="217">
      <c r="A217" s="38">
        <f t="shared" si="1"/>
        <v>45989</v>
      </c>
      <c r="B217" s="39">
        <v>61.0</v>
      </c>
      <c r="C217" s="39" t="s">
        <v>1911</v>
      </c>
      <c r="D217" s="39">
        <v>1.0</v>
      </c>
      <c r="E217" s="39">
        <v>2.655767023E9</v>
      </c>
      <c r="F217" s="39" t="s">
        <v>100</v>
      </c>
      <c r="G217" s="39" t="s">
        <v>1912</v>
      </c>
      <c r="H217" s="39" t="s">
        <v>1913</v>
      </c>
      <c r="I217" s="40">
        <v>45989.0</v>
      </c>
      <c r="J217" s="40">
        <v>45989.0</v>
      </c>
      <c r="K217" s="40">
        <v>45990.0</v>
      </c>
      <c r="L217" s="48"/>
      <c r="M217" s="48"/>
      <c r="N217" s="48"/>
      <c r="O217" s="39">
        <v>8.71379692E9</v>
      </c>
      <c r="P217" s="39" t="s">
        <v>1478</v>
      </c>
      <c r="Q217" s="39" t="s">
        <v>1579</v>
      </c>
      <c r="R217" s="39">
        <v>1.0</v>
      </c>
      <c r="S217" s="39">
        <v>106290.0</v>
      </c>
      <c r="T217" s="39">
        <v>119000.0</v>
      </c>
      <c r="U217" s="39">
        <v>0.0</v>
      </c>
      <c r="V217" s="39">
        <v>12710.0</v>
      </c>
      <c r="W217" s="39">
        <v>0.0</v>
      </c>
      <c r="X217" s="39">
        <v>109000.0</v>
      </c>
      <c r="Y217" s="39">
        <v>10000.0</v>
      </c>
      <c r="Z217" s="39">
        <v>0.0</v>
      </c>
      <c r="AA217" s="39">
        <v>0.0</v>
      </c>
      <c r="AB217" s="39">
        <v>0.0</v>
      </c>
      <c r="AC217" s="39">
        <v>0.0</v>
      </c>
      <c r="AD217" s="39">
        <v>0.0</v>
      </c>
      <c r="AE217" s="39">
        <v>0.0</v>
      </c>
      <c r="AF217" s="39">
        <v>0.0</v>
      </c>
      <c r="AG217" s="39">
        <v>0.0</v>
      </c>
      <c r="AH217" s="39">
        <v>0.0</v>
      </c>
      <c r="AI217" s="39">
        <v>0.0</v>
      </c>
      <c r="AJ217" s="39">
        <v>0.0</v>
      </c>
      <c r="AK217" s="48"/>
      <c r="AL217" s="39">
        <v>4.60963282625E11</v>
      </c>
      <c r="AM217" s="39" t="s">
        <v>1209</v>
      </c>
      <c r="AN217" s="42">
        <v>0.09</v>
      </c>
      <c r="AO217" s="43">
        <v>10710.0</v>
      </c>
      <c r="AP217" s="39">
        <v>0.0</v>
      </c>
      <c r="AQ217" s="39">
        <v>0.0</v>
      </c>
      <c r="AR217" s="39">
        <v>0.0</v>
      </c>
      <c r="AS217" s="39">
        <v>2000.0</v>
      </c>
      <c r="AT217" s="39">
        <v>2000.0</v>
      </c>
      <c r="AU217" s="39">
        <v>0.0</v>
      </c>
      <c r="AV217" s="39">
        <v>0.0</v>
      </c>
      <c r="AW217" s="39">
        <v>0.0</v>
      </c>
      <c r="AX217" s="39">
        <v>0.0</v>
      </c>
      <c r="AY217" s="39">
        <v>0.0</v>
      </c>
      <c r="AZ217" s="39">
        <v>0.0</v>
      </c>
      <c r="BA217" s="39">
        <v>0.0</v>
      </c>
      <c r="BB217" s="39">
        <v>0.0</v>
      </c>
      <c r="BC217" s="39">
        <v>0.0</v>
      </c>
      <c r="BD217" s="39">
        <v>0.0</v>
      </c>
      <c r="BE217" s="39">
        <v>0.0</v>
      </c>
      <c r="BF217" s="39">
        <v>0.0</v>
      </c>
      <c r="BG217" s="39">
        <v>0.0</v>
      </c>
      <c r="BH217" s="48"/>
    </row>
    <row r="218">
      <c r="A218" s="38">
        <f t="shared" si="1"/>
        <v>45966</v>
      </c>
      <c r="B218" s="39">
        <v>62.0</v>
      </c>
      <c r="C218" s="39" t="s">
        <v>1914</v>
      </c>
      <c r="D218" s="39">
        <v>1.0</v>
      </c>
      <c r="E218" s="39">
        <v>2.649291241E9</v>
      </c>
      <c r="F218" s="39" t="s">
        <v>1915</v>
      </c>
      <c r="G218" s="39" t="s">
        <v>1916</v>
      </c>
      <c r="H218" s="39" t="s">
        <v>1917</v>
      </c>
      <c r="I218" s="40">
        <v>45966.0</v>
      </c>
      <c r="J218" s="40">
        <v>45967.0</v>
      </c>
      <c r="K218" s="40">
        <v>45968.0</v>
      </c>
      <c r="L218" s="48"/>
      <c r="M218" s="48"/>
      <c r="N218" s="48"/>
      <c r="O218" s="39">
        <v>8.218763311E9</v>
      </c>
      <c r="P218" s="39" t="s">
        <v>1207</v>
      </c>
      <c r="Q218" s="39" t="s">
        <v>1724</v>
      </c>
      <c r="R218" s="39">
        <v>1.0</v>
      </c>
      <c r="S218" s="39">
        <v>19826.0</v>
      </c>
      <c r="T218" s="39">
        <v>29000.0</v>
      </c>
      <c r="U218" s="39">
        <v>0.0</v>
      </c>
      <c r="V218" s="39">
        <v>9174.0</v>
      </c>
      <c r="W218" s="39">
        <v>19826.0</v>
      </c>
      <c r="X218" s="39">
        <v>29000.0</v>
      </c>
      <c r="Y218" s="39">
        <v>0.0</v>
      </c>
      <c r="Z218" s="39">
        <v>0.0</v>
      </c>
      <c r="AA218" s="39">
        <v>0.0</v>
      </c>
      <c r="AB218" s="39">
        <v>0.0</v>
      </c>
      <c r="AC218" s="39">
        <v>0.0</v>
      </c>
      <c r="AD218" s="39">
        <v>0.0</v>
      </c>
      <c r="AE218" s="39">
        <v>0.0</v>
      </c>
      <c r="AF218" s="39">
        <v>0.0</v>
      </c>
      <c r="AG218" s="39">
        <v>0.0</v>
      </c>
      <c r="AH218" s="39">
        <v>0.0</v>
      </c>
      <c r="AI218" s="39">
        <v>0.0</v>
      </c>
      <c r="AJ218" s="39">
        <v>0.0</v>
      </c>
      <c r="AK218" s="48"/>
      <c r="AL218" s="39">
        <v>4.60762812554E11</v>
      </c>
      <c r="AM218" s="39" t="s">
        <v>1209</v>
      </c>
      <c r="AN218" s="42">
        <v>0.09</v>
      </c>
      <c r="AO218" s="39">
        <v>0.0</v>
      </c>
      <c r="AP218" s="39">
        <v>0.0</v>
      </c>
      <c r="AQ218" s="39">
        <v>0.0</v>
      </c>
      <c r="AR218" s="39">
        <v>0.0</v>
      </c>
      <c r="AS218" s="39">
        <v>7832.0</v>
      </c>
      <c r="AT218" s="39">
        <v>4700.0</v>
      </c>
      <c r="AU218" s="39">
        <v>3132.0</v>
      </c>
      <c r="AV218" s="39">
        <v>598.0</v>
      </c>
      <c r="AW218" s="39">
        <v>0.0</v>
      </c>
      <c r="AX218" s="39">
        <v>0.0</v>
      </c>
      <c r="AY218" s="39">
        <v>0.0</v>
      </c>
      <c r="AZ218" s="39">
        <v>0.0</v>
      </c>
      <c r="BA218" s="39">
        <v>0.0</v>
      </c>
      <c r="BB218" s="39">
        <v>0.0</v>
      </c>
      <c r="BC218" s="39">
        <v>1342.0</v>
      </c>
      <c r="BD218" s="39">
        <v>0.0</v>
      </c>
      <c r="BE218" s="39">
        <v>0.0</v>
      </c>
      <c r="BF218" s="39">
        <v>0.0</v>
      </c>
      <c r="BG218" s="39">
        <v>0.0</v>
      </c>
      <c r="BH218" s="48"/>
    </row>
    <row r="219">
      <c r="A219" s="38">
        <f t="shared" si="1"/>
        <v>45981</v>
      </c>
      <c r="B219" s="39">
        <v>63.0</v>
      </c>
      <c r="C219" s="39" t="s">
        <v>1918</v>
      </c>
      <c r="D219" s="39">
        <v>4.0</v>
      </c>
      <c r="E219" s="39">
        <v>2.65397523E9</v>
      </c>
      <c r="F219" s="39" t="s">
        <v>1915</v>
      </c>
      <c r="G219" s="39" t="s">
        <v>1919</v>
      </c>
      <c r="H219" s="39" t="s">
        <v>1920</v>
      </c>
      <c r="I219" s="40">
        <v>45981.0</v>
      </c>
      <c r="J219" s="40">
        <v>45981.0</v>
      </c>
      <c r="K219" s="40">
        <v>45983.0</v>
      </c>
      <c r="L219" s="48"/>
      <c r="M219" s="48"/>
      <c r="N219" s="48"/>
      <c r="O219" s="39">
        <v>8.627718957E9</v>
      </c>
      <c r="P219" s="39" t="s">
        <v>1540</v>
      </c>
      <c r="Q219" s="39" t="s">
        <v>1219</v>
      </c>
      <c r="R219" s="39">
        <v>1.0</v>
      </c>
      <c r="S219" s="39">
        <v>27820.0</v>
      </c>
      <c r="T219" s="39">
        <v>33000.0</v>
      </c>
      <c r="U219" s="39">
        <v>0.0</v>
      </c>
      <c r="V219" s="39">
        <v>5180.0</v>
      </c>
      <c r="W219" s="39">
        <v>0.0</v>
      </c>
      <c r="X219" s="39">
        <v>33000.0</v>
      </c>
      <c r="Y219" s="39">
        <v>0.0</v>
      </c>
      <c r="Z219" s="39">
        <v>0.0</v>
      </c>
      <c r="AA219" s="39">
        <v>0.0</v>
      </c>
      <c r="AB219" s="39">
        <v>0.0</v>
      </c>
      <c r="AC219" s="39">
        <v>0.0</v>
      </c>
      <c r="AD219" s="39">
        <v>0.0</v>
      </c>
      <c r="AE219" s="39">
        <v>0.0</v>
      </c>
      <c r="AF219" s="39">
        <v>0.0</v>
      </c>
      <c r="AG219" s="39">
        <v>0.0</v>
      </c>
      <c r="AH219" s="39">
        <v>0.0</v>
      </c>
      <c r="AI219" s="39">
        <v>0.0</v>
      </c>
      <c r="AJ219" s="39">
        <v>0.0</v>
      </c>
      <c r="AK219" s="48"/>
      <c r="AL219" s="39">
        <v>4.60892585366E11</v>
      </c>
      <c r="AM219" s="39" t="s">
        <v>1209</v>
      </c>
      <c r="AN219" s="42">
        <v>0.09</v>
      </c>
      <c r="AO219" s="43">
        <v>2970.0</v>
      </c>
      <c r="AP219" s="39">
        <v>0.0</v>
      </c>
      <c r="AQ219" s="39">
        <v>0.0</v>
      </c>
      <c r="AR219" s="39">
        <v>0.0</v>
      </c>
      <c r="AS219" s="39">
        <v>2100.0</v>
      </c>
      <c r="AT219" s="39">
        <v>2100.0</v>
      </c>
      <c r="AU219" s="39">
        <v>0.0</v>
      </c>
      <c r="AV219" s="39">
        <v>0.0</v>
      </c>
      <c r="AW219" s="39">
        <v>0.0</v>
      </c>
      <c r="AX219" s="39">
        <v>0.0</v>
      </c>
      <c r="AY219" s="39">
        <v>0.0</v>
      </c>
      <c r="AZ219" s="39">
        <v>0.0</v>
      </c>
      <c r="BA219" s="39">
        <v>0.0</v>
      </c>
      <c r="BB219" s="39">
        <v>0.0</v>
      </c>
      <c r="BC219" s="39">
        <v>110.0</v>
      </c>
      <c r="BD219" s="39">
        <v>0.0</v>
      </c>
      <c r="BE219" s="39">
        <v>0.0</v>
      </c>
      <c r="BF219" s="39">
        <v>0.0</v>
      </c>
      <c r="BG219" s="39">
        <v>0.0</v>
      </c>
      <c r="BH219" s="48"/>
    </row>
    <row r="220">
      <c r="A220" s="38">
        <f t="shared" si="1"/>
        <v>45985</v>
      </c>
      <c r="B220" s="39">
        <v>64.0</v>
      </c>
      <c r="C220" s="39" t="s">
        <v>1921</v>
      </c>
      <c r="D220" s="39">
        <v>1.0</v>
      </c>
      <c r="E220" s="39">
        <v>2.654765027E9</v>
      </c>
      <c r="F220" s="39" t="s">
        <v>1915</v>
      </c>
      <c r="G220" s="39" t="s">
        <v>1922</v>
      </c>
      <c r="H220" s="39" t="s">
        <v>1923</v>
      </c>
      <c r="I220" s="40">
        <v>45985.0</v>
      </c>
      <c r="J220" s="40">
        <v>45985.0</v>
      </c>
      <c r="K220" s="40">
        <v>45986.0</v>
      </c>
      <c r="L220" s="48"/>
      <c r="M220" s="48"/>
      <c r="N220" s="48"/>
      <c r="O220" s="39">
        <v>2.968080777E9</v>
      </c>
      <c r="P220" s="39" t="s">
        <v>1762</v>
      </c>
      <c r="Q220" s="39" t="s">
        <v>1660</v>
      </c>
      <c r="R220" s="39">
        <v>1.0</v>
      </c>
      <c r="S220" s="39">
        <v>8274.0</v>
      </c>
      <c r="T220" s="39">
        <v>9900.0</v>
      </c>
      <c r="U220" s="39">
        <v>0.0</v>
      </c>
      <c r="V220" s="39">
        <v>1626.0</v>
      </c>
      <c r="W220" s="39">
        <v>0.0</v>
      </c>
      <c r="X220" s="39">
        <v>9900.0</v>
      </c>
      <c r="Y220" s="39">
        <v>0.0</v>
      </c>
      <c r="Z220" s="39">
        <v>0.0</v>
      </c>
      <c r="AA220" s="39">
        <v>0.0</v>
      </c>
      <c r="AB220" s="39">
        <v>0.0</v>
      </c>
      <c r="AC220" s="39">
        <v>0.0</v>
      </c>
      <c r="AD220" s="39">
        <v>0.0</v>
      </c>
      <c r="AE220" s="39">
        <v>0.0</v>
      </c>
      <c r="AF220" s="39">
        <v>0.0</v>
      </c>
      <c r="AG220" s="39">
        <v>0.0</v>
      </c>
      <c r="AH220" s="39">
        <v>0.0</v>
      </c>
      <c r="AI220" s="39">
        <v>0.0</v>
      </c>
      <c r="AJ220" s="39">
        <v>0.0</v>
      </c>
      <c r="AK220" s="48"/>
      <c r="AL220" s="39">
        <v>4.6092093313E11</v>
      </c>
      <c r="AM220" s="39" t="s">
        <v>1209</v>
      </c>
      <c r="AN220" s="42">
        <v>0.09</v>
      </c>
      <c r="AO220" s="39">
        <v>891.0</v>
      </c>
      <c r="AP220" s="39">
        <v>0.0</v>
      </c>
      <c r="AQ220" s="39">
        <v>0.0</v>
      </c>
      <c r="AR220" s="39">
        <v>0.0</v>
      </c>
      <c r="AS220" s="39">
        <v>0.0</v>
      </c>
      <c r="AT220" s="39">
        <v>0.0</v>
      </c>
      <c r="AU220" s="39">
        <v>0.0</v>
      </c>
      <c r="AV220" s="39">
        <v>0.0</v>
      </c>
      <c r="AW220" s="39">
        <v>0.0</v>
      </c>
      <c r="AX220" s="39">
        <v>0.0</v>
      </c>
      <c r="AY220" s="39">
        <v>0.0</v>
      </c>
      <c r="AZ220" s="39">
        <v>0.0</v>
      </c>
      <c r="BA220" s="39">
        <v>0.0</v>
      </c>
      <c r="BB220" s="39">
        <v>0.0</v>
      </c>
      <c r="BC220" s="39">
        <v>735.0</v>
      </c>
      <c r="BD220" s="39">
        <v>0.0</v>
      </c>
      <c r="BE220" s="39">
        <v>0.0</v>
      </c>
      <c r="BF220" s="39">
        <v>0.0</v>
      </c>
      <c r="BG220" s="39">
        <v>0.0</v>
      </c>
      <c r="BH220" s="48"/>
    </row>
    <row r="221">
      <c r="A221" s="38">
        <f t="shared" si="1"/>
        <v>45986</v>
      </c>
      <c r="B221" s="39">
        <v>65.0</v>
      </c>
      <c r="C221" s="39" t="s">
        <v>1924</v>
      </c>
      <c r="D221" s="39">
        <v>3.0</v>
      </c>
      <c r="E221" s="39">
        <v>2.655048283E9</v>
      </c>
      <c r="F221" s="39" t="s">
        <v>1915</v>
      </c>
      <c r="G221" s="39" t="s">
        <v>1925</v>
      </c>
      <c r="H221" s="39" t="s">
        <v>1926</v>
      </c>
      <c r="I221" s="40">
        <v>45986.0</v>
      </c>
      <c r="J221" s="40">
        <v>45986.0</v>
      </c>
      <c r="K221" s="40">
        <v>45987.0</v>
      </c>
      <c r="L221" s="48"/>
      <c r="M221" s="48"/>
      <c r="N221" s="48"/>
      <c r="O221" s="39">
        <v>6.217732715E9</v>
      </c>
      <c r="P221" s="39" t="s">
        <v>55</v>
      </c>
      <c r="Q221" s="39" t="s">
        <v>1219</v>
      </c>
      <c r="R221" s="39">
        <v>1.0</v>
      </c>
      <c r="S221" s="39">
        <v>40855.0</v>
      </c>
      <c r="T221" s="39">
        <v>48000.0</v>
      </c>
      <c r="U221" s="39">
        <v>0.0</v>
      </c>
      <c r="V221" s="39">
        <v>7145.0</v>
      </c>
      <c r="W221" s="39">
        <v>0.0</v>
      </c>
      <c r="X221" s="39">
        <v>48000.0</v>
      </c>
      <c r="Y221" s="39">
        <v>0.0</v>
      </c>
      <c r="Z221" s="39">
        <v>0.0</v>
      </c>
      <c r="AA221" s="39">
        <v>0.0</v>
      </c>
      <c r="AB221" s="39">
        <v>0.0</v>
      </c>
      <c r="AC221" s="39">
        <v>0.0</v>
      </c>
      <c r="AD221" s="39">
        <v>0.0</v>
      </c>
      <c r="AE221" s="39">
        <v>0.0</v>
      </c>
      <c r="AF221" s="39">
        <v>0.0</v>
      </c>
      <c r="AG221" s="39">
        <v>0.0</v>
      </c>
      <c r="AH221" s="39">
        <v>0.0</v>
      </c>
      <c r="AI221" s="39">
        <v>0.0</v>
      </c>
      <c r="AJ221" s="39">
        <v>0.0</v>
      </c>
      <c r="AK221" s="48"/>
      <c r="AL221" s="39">
        <v>4.60933137755E11</v>
      </c>
      <c r="AM221" s="39" t="s">
        <v>1209</v>
      </c>
      <c r="AN221" s="42">
        <v>0.09</v>
      </c>
      <c r="AO221" s="43">
        <v>4312.0</v>
      </c>
      <c r="AP221" s="39">
        <v>0.0</v>
      </c>
      <c r="AQ221" s="39">
        <v>0.0</v>
      </c>
      <c r="AR221" s="39">
        <v>0.0</v>
      </c>
      <c r="AS221" s="39">
        <v>2110.0</v>
      </c>
      <c r="AT221" s="39">
        <v>2100.0</v>
      </c>
      <c r="AU221" s="39">
        <v>10.0</v>
      </c>
      <c r="AV221" s="39">
        <v>0.0</v>
      </c>
      <c r="AW221" s="39">
        <v>0.0</v>
      </c>
      <c r="AX221" s="39">
        <v>0.0</v>
      </c>
      <c r="AY221" s="39">
        <v>0.0</v>
      </c>
      <c r="AZ221" s="39">
        <v>0.0</v>
      </c>
      <c r="BA221" s="39">
        <v>0.0</v>
      </c>
      <c r="BB221" s="39">
        <v>0.0</v>
      </c>
      <c r="BC221" s="39">
        <v>723.0</v>
      </c>
      <c r="BD221" s="39">
        <v>0.0</v>
      </c>
      <c r="BE221" s="39">
        <v>0.0</v>
      </c>
      <c r="BF221" s="39">
        <v>0.0</v>
      </c>
      <c r="BG221" s="39">
        <v>0.0</v>
      </c>
      <c r="BH221" s="48"/>
    </row>
    <row r="222">
      <c r="A222" s="38" t="str">
        <f t="shared" si="1"/>
        <v/>
      </c>
      <c r="I222" s="14"/>
      <c r="J222" s="14"/>
      <c r="K222" s="14"/>
    </row>
    <row r="223">
      <c r="A223" s="38" t="str">
        <f t="shared" si="1"/>
        <v/>
      </c>
      <c r="I223" s="14"/>
      <c r="J223" s="14"/>
      <c r="K223" s="14"/>
    </row>
    <row r="224">
      <c r="A224" s="38" t="str">
        <f t="shared" si="1"/>
        <v/>
      </c>
      <c r="I224" s="14"/>
      <c r="J224" s="14"/>
      <c r="K224" s="14"/>
    </row>
    <row r="225">
      <c r="A225" s="38" t="str">
        <f t="shared" si="1"/>
        <v/>
      </c>
      <c r="I225" s="14"/>
      <c r="J225" s="14"/>
      <c r="K225" s="14"/>
    </row>
    <row r="226">
      <c r="A226" s="38" t="str">
        <f t="shared" si="1"/>
        <v/>
      </c>
      <c r="I226" s="14"/>
      <c r="J226" s="14"/>
      <c r="K226" s="14"/>
    </row>
    <row r="227">
      <c r="A227" s="38" t="str">
        <f t="shared" si="1"/>
        <v/>
      </c>
      <c r="I227" s="14"/>
      <c r="J227" s="14"/>
      <c r="K227" s="14"/>
    </row>
    <row r="228">
      <c r="A228" s="38" t="str">
        <f t="shared" si="1"/>
        <v/>
      </c>
      <c r="I228" s="14"/>
      <c r="J228" s="14"/>
      <c r="K228" s="14"/>
    </row>
    <row r="229">
      <c r="A229" s="38" t="str">
        <f t="shared" si="1"/>
        <v/>
      </c>
      <c r="I229" s="14"/>
      <c r="J229" s="14"/>
      <c r="K229" s="14"/>
    </row>
    <row r="230">
      <c r="A230" s="38" t="str">
        <f t="shared" si="1"/>
        <v/>
      </c>
      <c r="I230" s="14"/>
      <c r="J230" s="14"/>
      <c r="K230" s="14"/>
    </row>
    <row r="231">
      <c r="A231" s="38" t="str">
        <f t="shared" si="1"/>
        <v/>
      </c>
      <c r="I231" s="14"/>
      <c r="J231" s="14"/>
      <c r="K231" s="14"/>
    </row>
    <row r="232">
      <c r="A232" s="38" t="str">
        <f t="shared" si="1"/>
        <v/>
      </c>
      <c r="I232" s="14"/>
      <c r="J232" s="14"/>
      <c r="K232" s="14"/>
    </row>
    <row r="233">
      <c r="A233" s="38" t="str">
        <f t="shared" si="1"/>
        <v/>
      </c>
      <c r="I233" s="14"/>
      <c r="J233" s="14"/>
      <c r="K233" s="14"/>
    </row>
    <row r="234">
      <c r="A234" s="38" t="str">
        <f t="shared" si="1"/>
        <v/>
      </c>
      <c r="I234" s="14"/>
      <c r="J234" s="14"/>
      <c r="K234" s="14"/>
    </row>
    <row r="235">
      <c r="A235" s="38" t="str">
        <f t="shared" si="1"/>
        <v/>
      </c>
      <c r="I235" s="14"/>
      <c r="J235" s="14"/>
      <c r="K235" s="14"/>
    </row>
    <row r="236">
      <c r="A236" s="38" t="str">
        <f t="shared" si="1"/>
        <v/>
      </c>
      <c r="I236" s="14"/>
      <c r="J236" s="14"/>
      <c r="K236" s="14"/>
    </row>
    <row r="237">
      <c r="A237" s="38" t="str">
        <f t="shared" si="1"/>
        <v/>
      </c>
      <c r="I237" s="14"/>
      <c r="J237" s="14"/>
      <c r="K237" s="14"/>
    </row>
    <row r="238">
      <c r="A238" s="38" t="str">
        <f t="shared" si="1"/>
        <v/>
      </c>
      <c r="I238" s="14"/>
      <c r="J238" s="14"/>
      <c r="K238" s="14"/>
    </row>
    <row r="239">
      <c r="A239" s="38" t="str">
        <f t="shared" si="1"/>
        <v/>
      </c>
      <c r="I239" s="14"/>
      <c r="J239" s="14"/>
      <c r="K239" s="14"/>
    </row>
    <row r="240">
      <c r="A240" s="38" t="str">
        <f t="shared" si="1"/>
        <v/>
      </c>
      <c r="I240" s="14"/>
      <c r="J240" s="14"/>
      <c r="K240" s="14"/>
    </row>
    <row r="241">
      <c r="A241" s="38" t="str">
        <f t="shared" si="1"/>
        <v/>
      </c>
      <c r="I241" s="14"/>
      <c r="J241" s="14"/>
      <c r="K241" s="14"/>
    </row>
    <row r="242">
      <c r="A242" s="38" t="str">
        <f t="shared" si="1"/>
        <v/>
      </c>
      <c r="I242" s="14"/>
      <c r="J242" s="14"/>
      <c r="K242" s="14"/>
    </row>
    <row r="243">
      <c r="A243" s="38" t="str">
        <f t="shared" si="1"/>
        <v/>
      </c>
      <c r="I243" s="14"/>
      <c r="J243" s="14"/>
      <c r="K243" s="14"/>
    </row>
    <row r="244">
      <c r="A244" s="38" t="str">
        <f t="shared" si="1"/>
        <v/>
      </c>
      <c r="I244" s="14"/>
      <c r="J244" s="14"/>
      <c r="K244" s="14"/>
    </row>
    <row r="245">
      <c r="A245" s="38" t="str">
        <f t="shared" si="1"/>
        <v/>
      </c>
      <c r="I245" s="14"/>
      <c r="J245" s="14"/>
      <c r="K245" s="14"/>
    </row>
    <row r="246">
      <c r="A246" s="38" t="str">
        <f t="shared" si="1"/>
        <v/>
      </c>
      <c r="I246" s="14"/>
      <c r="J246" s="14"/>
      <c r="K246" s="14"/>
    </row>
    <row r="247">
      <c r="A247" s="38" t="str">
        <f t="shared" si="1"/>
        <v/>
      </c>
      <c r="I247" s="14"/>
      <c r="J247" s="14"/>
      <c r="K247" s="14"/>
    </row>
    <row r="248">
      <c r="A248" s="38" t="str">
        <f t="shared" si="1"/>
        <v/>
      </c>
      <c r="I248" s="14"/>
      <c r="J248" s="14"/>
      <c r="K248" s="14"/>
    </row>
    <row r="249">
      <c r="A249" s="38" t="str">
        <f t="shared" si="1"/>
        <v/>
      </c>
      <c r="I249" s="14"/>
      <c r="J249" s="14"/>
      <c r="K249" s="14"/>
    </row>
    <row r="250">
      <c r="A250" s="38" t="str">
        <f t="shared" si="1"/>
        <v/>
      </c>
      <c r="I250" s="14"/>
      <c r="J250" s="14"/>
      <c r="K250" s="14"/>
    </row>
    <row r="251">
      <c r="A251" s="38" t="str">
        <f t="shared" si="1"/>
        <v/>
      </c>
      <c r="I251" s="14"/>
      <c r="J251" s="14"/>
      <c r="K251" s="14"/>
    </row>
    <row r="252">
      <c r="A252" s="38" t="str">
        <f t="shared" si="1"/>
        <v/>
      </c>
      <c r="I252" s="14"/>
      <c r="J252" s="14"/>
      <c r="K252" s="14"/>
    </row>
    <row r="253">
      <c r="A253" s="38" t="str">
        <f t="shared" si="1"/>
        <v/>
      </c>
      <c r="I253" s="14"/>
      <c r="J253" s="14"/>
      <c r="K253" s="14"/>
    </row>
    <row r="254">
      <c r="A254" s="38" t="str">
        <f t="shared" si="1"/>
        <v/>
      </c>
      <c r="I254" s="14"/>
      <c r="J254" s="14"/>
      <c r="K254" s="14"/>
    </row>
    <row r="255">
      <c r="A255" s="38" t="str">
        <f t="shared" si="1"/>
        <v/>
      </c>
      <c r="I255" s="14"/>
      <c r="J255" s="14"/>
      <c r="K255" s="14"/>
    </row>
    <row r="256">
      <c r="A256" s="38" t="str">
        <f t="shared" si="1"/>
        <v/>
      </c>
      <c r="I256" s="14"/>
      <c r="J256" s="14"/>
      <c r="K256" s="14"/>
    </row>
    <row r="257">
      <c r="A257" s="38" t="str">
        <f t="shared" si="1"/>
        <v/>
      </c>
      <c r="I257" s="14"/>
      <c r="J257" s="14"/>
      <c r="K257" s="14"/>
    </row>
    <row r="258">
      <c r="A258" s="38" t="str">
        <f t="shared" si="1"/>
        <v/>
      </c>
      <c r="I258" s="14"/>
      <c r="J258" s="14"/>
      <c r="K258" s="14"/>
    </row>
    <row r="259">
      <c r="A259" s="38" t="str">
        <f t="shared" si="1"/>
        <v/>
      </c>
      <c r="I259" s="14"/>
      <c r="J259" s="14"/>
      <c r="K259" s="14"/>
    </row>
    <row r="260">
      <c r="A260" s="38" t="str">
        <f t="shared" si="1"/>
        <v/>
      </c>
      <c r="I260" s="14"/>
      <c r="J260" s="14"/>
      <c r="K260" s="14"/>
    </row>
    <row r="261">
      <c r="A261" s="38" t="str">
        <f t="shared" si="1"/>
        <v/>
      </c>
      <c r="I261" s="14"/>
      <c r="J261" s="14"/>
      <c r="K261" s="14"/>
    </row>
    <row r="262">
      <c r="A262" s="38" t="str">
        <f t="shared" si="1"/>
        <v/>
      </c>
      <c r="I262" s="14"/>
      <c r="J262" s="14"/>
      <c r="K262" s="14"/>
    </row>
    <row r="263">
      <c r="A263" s="38" t="str">
        <f t="shared" si="1"/>
        <v/>
      </c>
      <c r="I263" s="14"/>
      <c r="J263" s="14"/>
      <c r="K263" s="14"/>
    </row>
    <row r="264">
      <c r="A264" s="38" t="str">
        <f t="shared" si="1"/>
        <v/>
      </c>
      <c r="I264" s="14"/>
      <c r="J264" s="14"/>
      <c r="K264" s="14"/>
    </row>
    <row r="265">
      <c r="A265" s="38" t="str">
        <f t="shared" si="1"/>
        <v/>
      </c>
      <c r="I265" s="14"/>
      <c r="J265" s="14"/>
      <c r="K265" s="14"/>
    </row>
    <row r="266">
      <c r="A266" s="38" t="str">
        <f t="shared" si="1"/>
        <v/>
      </c>
      <c r="I266" s="14"/>
      <c r="J266" s="14"/>
      <c r="K266" s="14"/>
    </row>
    <row r="267">
      <c r="A267" s="38" t="str">
        <f t="shared" si="1"/>
        <v/>
      </c>
      <c r="I267" s="14"/>
      <c r="J267" s="14"/>
      <c r="K267" s="14"/>
    </row>
    <row r="268">
      <c r="A268" s="38" t="str">
        <f t="shared" si="1"/>
        <v/>
      </c>
      <c r="I268" s="14"/>
      <c r="J268" s="14"/>
      <c r="K268" s="14"/>
    </row>
    <row r="269">
      <c r="A269" s="38" t="str">
        <f t="shared" si="1"/>
        <v/>
      </c>
      <c r="I269" s="14"/>
      <c r="J269" s="14"/>
      <c r="K269" s="14"/>
    </row>
    <row r="270">
      <c r="A270" s="38" t="str">
        <f t="shared" si="1"/>
        <v/>
      </c>
      <c r="I270" s="14"/>
      <c r="J270" s="14"/>
      <c r="K270" s="14"/>
    </row>
    <row r="271">
      <c r="A271" s="38" t="str">
        <f t="shared" si="1"/>
        <v/>
      </c>
      <c r="I271" s="14"/>
      <c r="J271" s="14"/>
      <c r="K271" s="14"/>
    </row>
    <row r="272">
      <c r="A272" s="38" t="str">
        <f t="shared" si="1"/>
        <v/>
      </c>
      <c r="I272" s="14"/>
      <c r="J272" s="14"/>
      <c r="K272" s="14"/>
    </row>
    <row r="273">
      <c r="A273" s="38" t="str">
        <f t="shared" si="1"/>
        <v/>
      </c>
      <c r="I273" s="14"/>
      <c r="J273" s="14"/>
      <c r="K273" s="14"/>
    </row>
    <row r="274">
      <c r="A274" s="38" t="str">
        <f t="shared" si="1"/>
        <v/>
      </c>
      <c r="I274" s="14"/>
      <c r="J274" s="14"/>
      <c r="K274" s="14"/>
    </row>
    <row r="275">
      <c r="A275" s="38" t="str">
        <f t="shared" si="1"/>
        <v/>
      </c>
      <c r="I275" s="14"/>
      <c r="J275" s="14"/>
      <c r="K275" s="14"/>
    </row>
    <row r="276">
      <c r="A276" s="38" t="str">
        <f t="shared" si="1"/>
        <v/>
      </c>
      <c r="I276" s="14"/>
      <c r="J276" s="14"/>
      <c r="K276" s="14"/>
    </row>
    <row r="277">
      <c r="A277" s="38" t="str">
        <f t="shared" si="1"/>
        <v/>
      </c>
      <c r="I277" s="14"/>
      <c r="J277" s="14"/>
      <c r="K277" s="14"/>
    </row>
    <row r="278">
      <c r="A278" s="38" t="str">
        <f t="shared" si="1"/>
        <v/>
      </c>
      <c r="I278" s="14"/>
      <c r="J278" s="14"/>
      <c r="K278" s="14"/>
    </row>
    <row r="279">
      <c r="A279" s="38" t="str">
        <f t="shared" si="1"/>
        <v/>
      </c>
      <c r="I279" s="14"/>
      <c r="J279" s="14"/>
      <c r="K279" s="14"/>
    </row>
    <row r="280">
      <c r="A280" s="38" t="str">
        <f t="shared" si="1"/>
        <v/>
      </c>
      <c r="I280" s="14"/>
      <c r="J280" s="14"/>
      <c r="K280" s="14"/>
    </row>
    <row r="281">
      <c r="A281" s="38" t="str">
        <f t="shared" si="1"/>
        <v/>
      </c>
      <c r="I281" s="14"/>
      <c r="J281" s="14"/>
      <c r="K281" s="14"/>
    </row>
    <row r="282">
      <c r="A282" s="38" t="str">
        <f t="shared" si="1"/>
        <v/>
      </c>
      <c r="I282" s="14"/>
      <c r="J282" s="14"/>
      <c r="K282" s="14"/>
    </row>
    <row r="283">
      <c r="A283" s="38" t="str">
        <f t="shared" si="1"/>
        <v/>
      </c>
      <c r="I283" s="14"/>
      <c r="J283" s="14"/>
      <c r="K283" s="14"/>
    </row>
    <row r="284">
      <c r="A284" s="38" t="str">
        <f t="shared" si="1"/>
        <v/>
      </c>
      <c r="I284" s="14"/>
      <c r="J284" s="14"/>
      <c r="K284" s="14"/>
    </row>
    <row r="285">
      <c r="A285" s="38" t="str">
        <f t="shared" si="1"/>
        <v/>
      </c>
      <c r="I285" s="14"/>
      <c r="J285" s="14"/>
      <c r="K285" s="14"/>
    </row>
    <row r="286">
      <c r="A286" s="38" t="str">
        <f t="shared" si="1"/>
        <v/>
      </c>
      <c r="I286" s="14"/>
      <c r="J286" s="14"/>
      <c r="K286" s="14"/>
    </row>
    <row r="287">
      <c r="A287" s="38" t="str">
        <f t="shared" si="1"/>
        <v/>
      </c>
      <c r="I287" s="14"/>
      <c r="J287" s="14"/>
      <c r="K287" s="14"/>
    </row>
    <row r="288">
      <c r="A288" s="38" t="str">
        <f t="shared" si="1"/>
        <v/>
      </c>
      <c r="I288" s="14"/>
      <c r="J288" s="14"/>
      <c r="K288" s="14"/>
    </row>
    <row r="289">
      <c r="A289" s="38" t="str">
        <f t="shared" si="1"/>
        <v/>
      </c>
      <c r="I289" s="14"/>
      <c r="J289" s="14"/>
      <c r="K289" s="14"/>
    </row>
    <row r="290">
      <c r="A290" s="38" t="str">
        <f t="shared" si="1"/>
        <v/>
      </c>
      <c r="I290" s="14"/>
      <c r="J290" s="14"/>
      <c r="K290" s="14"/>
    </row>
    <row r="291">
      <c r="A291" s="38" t="str">
        <f t="shared" si="1"/>
        <v/>
      </c>
      <c r="I291" s="14"/>
      <c r="J291" s="14"/>
      <c r="K291" s="14"/>
    </row>
    <row r="292">
      <c r="A292" s="38" t="str">
        <f t="shared" si="1"/>
        <v/>
      </c>
      <c r="I292" s="14"/>
      <c r="J292" s="14"/>
      <c r="K292" s="14"/>
    </row>
    <row r="293">
      <c r="A293" s="38" t="str">
        <f t="shared" si="1"/>
        <v/>
      </c>
      <c r="I293" s="14"/>
      <c r="J293" s="14"/>
      <c r="K293" s="14"/>
    </row>
    <row r="294">
      <c r="A294" s="38" t="str">
        <f t="shared" si="1"/>
        <v/>
      </c>
      <c r="I294" s="14"/>
      <c r="J294" s="14"/>
      <c r="K294" s="14"/>
    </row>
    <row r="295">
      <c r="A295" s="38" t="str">
        <f t="shared" si="1"/>
        <v/>
      </c>
      <c r="I295" s="14"/>
      <c r="J295" s="14"/>
      <c r="K295" s="14"/>
    </row>
    <row r="296">
      <c r="A296" s="38" t="str">
        <f t="shared" si="1"/>
        <v/>
      </c>
      <c r="I296" s="14"/>
      <c r="J296" s="14"/>
      <c r="K296" s="14"/>
    </row>
    <row r="297">
      <c r="A297" s="38" t="str">
        <f t="shared" si="1"/>
        <v/>
      </c>
      <c r="I297" s="14"/>
      <c r="J297" s="14"/>
      <c r="K297" s="14"/>
    </row>
    <row r="298">
      <c r="A298" s="38" t="str">
        <f t="shared" si="1"/>
        <v/>
      </c>
      <c r="I298" s="14"/>
      <c r="J298" s="14"/>
      <c r="K298" s="14"/>
    </row>
    <row r="299">
      <c r="A299" s="38" t="str">
        <f t="shared" si="1"/>
        <v/>
      </c>
      <c r="I299" s="14"/>
      <c r="J299" s="14"/>
      <c r="K299" s="14"/>
    </row>
    <row r="300">
      <c r="A300" s="38" t="str">
        <f t="shared" si="1"/>
        <v/>
      </c>
      <c r="I300" s="14"/>
      <c r="J300" s="14"/>
      <c r="K300" s="14"/>
    </row>
    <row r="301">
      <c r="A301" s="38" t="str">
        <f t="shared" si="1"/>
        <v/>
      </c>
      <c r="I301" s="14"/>
      <c r="J301" s="14"/>
      <c r="K301" s="14"/>
    </row>
    <row r="302">
      <c r="A302" s="38" t="str">
        <f t="shared" si="1"/>
        <v/>
      </c>
      <c r="I302" s="14"/>
      <c r="J302" s="14"/>
      <c r="K302" s="14"/>
    </row>
    <row r="303">
      <c r="A303" s="38" t="str">
        <f t="shared" si="1"/>
        <v/>
      </c>
      <c r="I303" s="14"/>
      <c r="J303" s="14"/>
      <c r="K303" s="14"/>
    </row>
    <row r="304">
      <c r="A304" s="38" t="str">
        <f t="shared" si="1"/>
        <v/>
      </c>
      <c r="I304" s="14"/>
      <c r="J304" s="14"/>
      <c r="K304" s="14"/>
    </row>
    <row r="305">
      <c r="A305" s="38" t="str">
        <f t="shared" si="1"/>
        <v/>
      </c>
      <c r="I305" s="14"/>
      <c r="J305" s="14"/>
      <c r="K305" s="14"/>
    </row>
    <row r="306">
      <c r="A306" s="38" t="str">
        <f t="shared" si="1"/>
        <v/>
      </c>
      <c r="I306" s="14"/>
      <c r="J306" s="14"/>
      <c r="K306" s="14"/>
    </row>
    <row r="307">
      <c r="A307" s="38" t="str">
        <f t="shared" si="1"/>
        <v/>
      </c>
      <c r="I307" s="14"/>
      <c r="J307" s="14"/>
      <c r="K307" s="14"/>
    </row>
    <row r="308">
      <c r="A308" s="38" t="str">
        <f t="shared" si="1"/>
        <v/>
      </c>
      <c r="I308" s="14"/>
      <c r="J308" s="14"/>
      <c r="K308" s="14"/>
    </row>
    <row r="309">
      <c r="A309" s="38" t="str">
        <f t="shared" si="1"/>
        <v/>
      </c>
      <c r="I309" s="14"/>
      <c r="J309" s="14"/>
      <c r="K309" s="14"/>
    </row>
    <row r="310">
      <c r="A310" s="38" t="str">
        <f t="shared" si="1"/>
        <v/>
      </c>
      <c r="I310" s="14"/>
      <c r="J310" s="14"/>
      <c r="K310" s="14"/>
    </row>
    <row r="311">
      <c r="A311" s="38" t="str">
        <f t="shared" si="1"/>
        <v/>
      </c>
      <c r="I311" s="14"/>
      <c r="J311" s="14"/>
      <c r="K311" s="14"/>
    </row>
    <row r="312">
      <c r="A312" s="38" t="str">
        <f t="shared" si="1"/>
        <v/>
      </c>
      <c r="I312" s="14"/>
      <c r="J312" s="14"/>
      <c r="K312" s="14"/>
    </row>
    <row r="313">
      <c r="A313" s="38" t="str">
        <f t="shared" si="1"/>
        <v/>
      </c>
      <c r="I313" s="14"/>
      <c r="J313" s="14"/>
      <c r="K313" s="14"/>
    </row>
    <row r="314">
      <c r="A314" s="38" t="str">
        <f t="shared" si="1"/>
        <v/>
      </c>
      <c r="I314" s="14"/>
      <c r="J314" s="14"/>
      <c r="K314" s="14"/>
    </row>
    <row r="315">
      <c r="A315" s="38" t="str">
        <f t="shared" si="1"/>
        <v/>
      </c>
      <c r="I315" s="14"/>
      <c r="J315" s="14"/>
      <c r="K315" s="14"/>
    </row>
    <row r="316">
      <c r="A316" s="38" t="str">
        <f t="shared" si="1"/>
        <v/>
      </c>
      <c r="I316" s="14"/>
      <c r="J316" s="14"/>
      <c r="K316" s="14"/>
    </row>
    <row r="317">
      <c r="A317" s="38" t="str">
        <f t="shared" si="1"/>
        <v/>
      </c>
      <c r="I317" s="14"/>
      <c r="J317" s="14"/>
      <c r="K317" s="14"/>
    </row>
    <row r="318">
      <c r="A318" s="38" t="str">
        <f t="shared" si="1"/>
        <v/>
      </c>
      <c r="I318" s="14"/>
      <c r="J318" s="14"/>
      <c r="K318" s="14"/>
    </row>
    <row r="319">
      <c r="A319" s="38" t="str">
        <f t="shared" si="1"/>
        <v/>
      </c>
      <c r="I319" s="14"/>
      <c r="J319" s="14"/>
      <c r="K319" s="14"/>
    </row>
    <row r="320">
      <c r="A320" s="38" t="str">
        <f t="shared" si="1"/>
        <v/>
      </c>
      <c r="I320" s="14"/>
      <c r="J320" s="14"/>
      <c r="K320" s="14"/>
    </row>
    <row r="321">
      <c r="A321" s="38" t="str">
        <f t="shared" si="1"/>
        <v/>
      </c>
      <c r="I321" s="14"/>
      <c r="J321" s="14"/>
      <c r="K321" s="14"/>
    </row>
    <row r="322">
      <c r="A322" s="38" t="str">
        <f t="shared" si="1"/>
        <v/>
      </c>
      <c r="I322" s="14"/>
      <c r="J322" s="14"/>
      <c r="K322" s="14"/>
    </row>
    <row r="323">
      <c r="A323" s="38" t="str">
        <f t="shared" si="1"/>
        <v/>
      </c>
      <c r="I323" s="14"/>
      <c r="J323" s="14"/>
      <c r="K323" s="14"/>
    </row>
    <row r="324">
      <c r="A324" s="38" t="str">
        <f t="shared" si="1"/>
        <v/>
      </c>
      <c r="I324" s="14"/>
      <c r="J324" s="14"/>
      <c r="K324" s="14"/>
    </row>
    <row r="325">
      <c r="A325" s="38" t="str">
        <f t="shared" si="1"/>
        <v/>
      </c>
      <c r="I325" s="14"/>
      <c r="J325" s="14"/>
      <c r="K325" s="14"/>
    </row>
    <row r="326">
      <c r="A326" s="38" t="str">
        <f t="shared" si="1"/>
        <v/>
      </c>
      <c r="I326" s="14"/>
      <c r="J326" s="14"/>
      <c r="K326" s="14"/>
    </row>
    <row r="327">
      <c r="A327" s="38" t="str">
        <f t="shared" si="1"/>
        <v/>
      </c>
      <c r="I327" s="14"/>
      <c r="J327" s="14"/>
      <c r="K327" s="14"/>
    </row>
    <row r="328">
      <c r="A328" s="38" t="str">
        <f t="shared" si="1"/>
        <v/>
      </c>
      <c r="I328" s="14"/>
      <c r="J328" s="14"/>
      <c r="K328" s="14"/>
    </row>
    <row r="329">
      <c r="A329" s="38" t="str">
        <f t="shared" si="1"/>
        <v/>
      </c>
      <c r="I329" s="14"/>
      <c r="J329" s="14"/>
      <c r="K329" s="14"/>
    </row>
    <row r="330">
      <c r="A330" s="38" t="str">
        <f t="shared" si="1"/>
        <v/>
      </c>
      <c r="I330" s="14"/>
      <c r="J330" s="14"/>
      <c r="K330" s="14"/>
    </row>
    <row r="331">
      <c r="A331" s="38" t="str">
        <f t="shared" si="1"/>
        <v/>
      </c>
      <c r="I331" s="14"/>
      <c r="J331" s="14"/>
      <c r="K331" s="14"/>
    </row>
    <row r="332">
      <c r="A332" s="38" t="str">
        <f t="shared" si="1"/>
        <v/>
      </c>
      <c r="I332" s="14"/>
      <c r="J332" s="14"/>
      <c r="K332" s="14"/>
    </row>
    <row r="333">
      <c r="A333" s="38" t="str">
        <f t="shared" si="1"/>
        <v/>
      </c>
      <c r="I333" s="14"/>
      <c r="J333" s="14"/>
      <c r="K333" s="14"/>
    </row>
    <row r="334">
      <c r="A334" s="38" t="str">
        <f t="shared" si="1"/>
        <v/>
      </c>
      <c r="I334" s="14"/>
      <c r="J334" s="14"/>
      <c r="K334" s="14"/>
    </row>
    <row r="335">
      <c r="A335" s="38" t="str">
        <f t="shared" si="1"/>
        <v/>
      </c>
      <c r="I335" s="14"/>
      <c r="J335" s="14"/>
      <c r="K335" s="14"/>
    </row>
    <row r="336">
      <c r="A336" s="38" t="str">
        <f t="shared" si="1"/>
        <v/>
      </c>
      <c r="I336" s="14"/>
      <c r="J336" s="14"/>
      <c r="K336" s="14"/>
    </row>
    <row r="337">
      <c r="A337" s="38" t="str">
        <f t="shared" si="1"/>
        <v/>
      </c>
      <c r="I337" s="14"/>
      <c r="J337" s="14"/>
      <c r="K337" s="14"/>
    </row>
    <row r="338">
      <c r="A338" s="38" t="str">
        <f t="shared" si="1"/>
        <v/>
      </c>
      <c r="I338" s="14"/>
      <c r="J338" s="14"/>
      <c r="K338" s="14"/>
    </row>
    <row r="339">
      <c r="A339" s="38" t="str">
        <f t="shared" si="1"/>
        <v/>
      </c>
      <c r="I339" s="14"/>
      <c r="J339" s="14"/>
      <c r="K339" s="14"/>
    </row>
    <row r="340">
      <c r="A340" s="38" t="str">
        <f t="shared" si="1"/>
        <v/>
      </c>
      <c r="I340" s="14"/>
      <c r="J340" s="14"/>
      <c r="K340" s="14"/>
    </row>
    <row r="341">
      <c r="A341" s="38" t="str">
        <f t="shared" si="1"/>
        <v/>
      </c>
      <c r="I341" s="14"/>
      <c r="J341" s="14"/>
      <c r="K341" s="14"/>
    </row>
    <row r="342">
      <c r="A342" s="38" t="str">
        <f t="shared" si="1"/>
        <v/>
      </c>
      <c r="I342" s="14"/>
      <c r="J342" s="14"/>
      <c r="K342" s="14"/>
    </row>
    <row r="343">
      <c r="A343" s="38" t="str">
        <f t="shared" si="1"/>
        <v/>
      </c>
      <c r="I343" s="14"/>
      <c r="J343" s="14"/>
      <c r="K343" s="14"/>
    </row>
    <row r="344">
      <c r="A344" s="38" t="str">
        <f t="shared" si="1"/>
        <v/>
      </c>
      <c r="I344" s="14"/>
      <c r="J344" s="14"/>
      <c r="K344" s="14"/>
    </row>
    <row r="345">
      <c r="A345" s="38" t="str">
        <f t="shared" si="1"/>
        <v/>
      </c>
      <c r="I345" s="14"/>
      <c r="J345" s="14"/>
      <c r="K345" s="14"/>
    </row>
    <row r="346">
      <c r="A346" s="38" t="str">
        <f t="shared" si="1"/>
        <v/>
      </c>
      <c r="I346" s="14"/>
      <c r="J346" s="14"/>
      <c r="K346" s="14"/>
    </row>
    <row r="347">
      <c r="A347" s="38" t="str">
        <f t="shared" si="1"/>
        <v/>
      </c>
      <c r="I347" s="14"/>
      <c r="J347" s="14"/>
      <c r="K347" s="14"/>
    </row>
    <row r="348">
      <c r="A348" s="38" t="str">
        <f t="shared" si="1"/>
        <v/>
      </c>
      <c r="I348" s="14"/>
      <c r="J348" s="14"/>
      <c r="K348" s="14"/>
    </row>
    <row r="349">
      <c r="A349" s="38" t="str">
        <f t="shared" si="1"/>
        <v/>
      </c>
      <c r="I349" s="14"/>
      <c r="J349" s="14"/>
      <c r="K349" s="14"/>
    </row>
    <row r="350">
      <c r="A350" s="38" t="str">
        <f t="shared" si="1"/>
        <v/>
      </c>
      <c r="I350" s="14"/>
      <c r="J350" s="14"/>
      <c r="K350" s="14"/>
    </row>
    <row r="351">
      <c r="A351" s="38" t="str">
        <f t="shared" si="1"/>
        <v/>
      </c>
      <c r="I351" s="14"/>
      <c r="J351" s="14"/>
      <c r="K351" s="14"/>
    </row>
    <row r="352">
      <c r="A352" s="38" t="str">
        <f t="shared" si="1"/>
        <v/>
      </c>
      <c r="I352" s="14"/>
      <c r="J352" s="14"/>
      <c r="K352" s="14"/>
    </row>
    <row r="353">
      <c r="A353" s="38" t="str">
        <f t="shared" si="1"/>
        <v/>
      </c>
      <c r="I353" s="14"/>
      <c r="J353" s="14"/>
      <c r="K353" s="14"/>
    </row>
    <row r="354">
      <c r="A354" s="38" t="str">
        <f t="shared" si="1"/>
        <v/>
      </c>
      <c r="I354" s="14"/>
      <c r="J354" s="14"/>
      <c r="K354" s="14"/>
    </row>
    <row r="355">
      <c r="A355" s="38" t="str">
        <f t="shared" si="1"/>
        <v/>
      </c>
      <c r="I355" s="14"/>
      <c r="J355" s="14"/>
      <c r="K355" s="14"/>
    </row>
    <row r="356">
      <c r="A356" s="38" t="str">
        <f t="shared" si="1"/>
        <v/>
      </c>
      <c r="I356" s="14"/>
      <c r="J356" s="14"/>
      <c r="K356" s="14"/>
    </row>
    <row r="357">
      <c r="A357" s="38" t="str">
        <f t="shared" si="1"/>
        <v/>
      </c>
      <c r="I357" s="14"/>
      <c r="J357" s="14"/>
      <c r="K357" s="14"/>
    </row>
    <row r="358">
      <c r="A358" s="38" t="str">
        <f t="shared" si="1"/>
        <v/>
      </c>
      <c r="I358" s="14"/>
      <c r="J358" s="14"/>
      <c r="K358" s="14"/>
    </row>
    <row r="359">
      <c r="A359" s="38" t="str">
        <f t="shared" si="1"/>
        <v/>
      </c>
      <c r="I359" s="14"/>
      <c r="J359" s="14"/>
      <c r="K359" s="14"/>
    </row>
    <row r="360">
      <c r="A360" s="38" t="str">
        <f t="shared" si="1"/>
        <v/>
      </c>
      <c r="I360" s="14"/>
      <c r="J360" s="14"/>
      <c r="K360" s="14"/>
    </row>
    <row r="361">
      <c r="A361" s="38" t="str">
        <f t="shared" si="1"/>
        <v/>
      </c>
      <c r="I361" s="14"/>
      <c r="J361" s="14"/>
      <c r="K361" s="14"/>
    </row>
    <row r="362">
      <c r="A362" s="38" t="str">
        <f t="shared" si="1"/>
        <v/>
      </c>
      <c r="I362" s="14"/>
      <c r="J362" s="14"/>
      <c r="K362" s="14"/>
    </row>
    <row r="363">
      <c r="A363" s="38" t="str">
        <f t="shared" si="1"/>
        <v/>
      </c>
      <c r="I363" s="14"/>
      <c r="J363" s="14"/>
      <c r="K363" s="14"/>
    </row>
    <row r="364">
      <c r="A364" s="38" t="str">
        <f t="shared" si="1"/>
        <v/>
      </c>
      <c r="I364" s="14"/>
      <c r="J364" s="14"/>
      <c r="K364" s="14"/>
    </row>
    <row r="365">
      <c r="A365" s="38" t="str">
        <f t="shared" si="1"/>
        <v/>
      </c>
      <c r="I365" s="14"/>
      <c r="J365" s="14"/>
      <c r="K365" s="14"/>
    </row>
    <row r="366">
      <c r="A366" s="38" t="str">
        <f t="shared" si="1"/>
        <v/>
      </c>
      <c r="I366" s="14"/>
      <c r="J366" s="14"/>
      <c r="K366" s="14"/>
    </row>
    <row r="367">
      <c r="A367" s="38" t="str">
        <f t="shared" si="1"/>
        <v/>
      </c>
      <c r="I367" s="14"/>
      <c r="J367" s="14"/>
      <c r="K367" s="14"/>
    </row>
    <row r="368">
      <c r="A368" s="38" t="str">
        <f t="shared" si="1"/>
        <v/>
      </c>
      <c r="I368" s="14"/>
      <c r="J368" s="14"/>
      <c r="K368" s="14"/>
    </row>
    <row r="369">
      <c r="A369" s="38" t="str">
        <f t="shared" si="1"/>
        <v/>
      </c>
      <c r="I369" s="14"/>
      <c r="J369" s="14"/>
      <c r="K369" s="14"/>
    </row>
    <row r="370">
      <c r="A370" s="38" t="str">
        <f t="shared" si="1"/>
        <v/>
      </c>
      <c r="I370" s="14"/>
      <c r="J370" s="14"/>
      <c r="K370" s="14"/>
    </row>
    <row r="371">
      <c r="A371" s="38" t="str">
        <f t="shared" si="1"/>
        <v/>
      </c>
      <c r="I371" s="14"/>
      <c r="J371" s="14"/>
      <c r="K371" s="14"/>
    </row>
    <row r="372">
      <c r="A372" s="38" t="str">
        <f t="shared" si="1"/>
        <v/>
      </c>
      <c r="I372" s="14"/>
      <c r="J372" s="14"/>
      <c r="K372" s="14"/>
    </row>
    <row r="373">
      <c r="A373" s="38" t="str">
        <f t="shared" si="1"/>
        <v/>
      </c>
      <c r="I373" s="14"/>
      <c r="J373" s="14"/>
      <c r="K373" s="14"/>
    </row>
    <row r="374">
      <c r="A374" s="38" t="str">
        <f t="shared" si="1"/>
        <v/>
      </c>
      <c r="I374" s="14"/>
      <c r="J374" s="14"/>
      <c r="K374" s="14"/>
    </row>
    <row r="375">
      <c r="A375" s="38" t="str">
        <f t="shared" si="1"/>
        <v/>
      </c>
      <c r="I375" s="14"/>
      <c r="J375" s="14"/>
      <c r="K375" s="14"/>
    </row>
    <row r="376">
      <c r="A376" s="38" t="str">
        <f t="shared" si="1"/>
        <v/>
      </c>
      <c r="I376" s="14"/>
      <c r="J376" s="14"/>
      <c r="K376" s="14"/>
    </row>
    <row r="377">
      <c r="A377" s="38" t="str">
        <f t="shared" si="1"/>
        <v/>
      </c>
      <c r="I377" s="14"/>
      <c r="J377" s="14"/>
      <c r="K377" s="14"/>
    </row>
    <row r="378">
      <c r="A378" s="38" t="str">
        <f t="shared" si="1"/>
        <v/>
      </c>
      <c r="I378" s="14"/>
      <c r="J378" s="14"/>
      <c r="K378" s="14"/>
    </row>
    <row r="379">
      <c r="A379" s="38" t="str">
        <f t="shared" si="1"/>
        <v/>
      </c>
      <c r="I379" s="14"/>
      <c r="J379" s="14"/>
      <c r="K379" s="14"/>
    </row>
    <row r="380">
      <c r="A380" s="38" t="str">
        <f t="shared" si="1"/>
        <v/>
      </c>
      <c r="I380" s="14"/>
      <c r="J380" s="14"/>
      <c r="K380" s="14"/>
    </row>
    <row r="381">
      <c r="A381" s="38" t="str">
        <f t="shared" si="1"/>
        <v/>
      </c>
      <c r="I381" s="14"/>
      <c r="J381" s="14"/>
      <c r="K381" s="14"/>
    </row>
    <row r="382">
      <c r="A382" s="38" t="str">
        <f t="shared" si="1"/>
        <v/>
      </c>
      <c r="I382" s="14"/>
      <c r="J382" s="14"/>
      <c r="K382" s="14"/>
    </row>
    <row r="383">
      <c r="A383" s="38" t="str">
        <f t="shared" si="1"/>
        <v/>
      </c>
      <c r="I383" s="14"/>
      <c r="J383" s="14"/>
      <c r="K383" s="14"/>
    </row>
    <row r="384">
      <c r="A384" s="38" t="str">
        <f t="shared" si="1"/>
        <v/>
      </c>
      <c r="I384" s="14"/>
      <c r="J384" s="14"/>
      <c r="K384" s="14"/>
    </row>
    <row r="385">
      <c r="A385" s="38" t="str">
        <f t="shared" si="1"/>
        <v/>
      </c>
      <c r="I385" s="14"/>
      <c r="J385" s="14"/>
      <c r="K385" s="14"/>
    </row>
    <row r="386">
      <c r="A386" s="38" t="str">
        <f t="shared" si="1"/>
        <v/>
      </c>
      <c r="I386" s="14"/>
      <c r="J386" s="14"/>
      <c r="K386" s="14"/>
    </row>
    <row r="387">
      <c r="A387" s="38" t="str">
        <f t="shared" si="1"/>
        <v/>
      </c>
      <c r="I387" s="14"/>
      <c r="J387" s="14"/>
      <c r="K387" s="14"/>
    </row>
    <row r="388">
      <c r="A388" s="38" t="str">
        <f t="shared" si="1"/>
        <v/>
      </c>
      <c r="I388" s="14"/>
      <c r="J388" s="14"/>
      <c r="K388" s="14"/>
    </row>
    <row r="389">
      <c r="A389" s="38" t="str">
        <f t="shared" si="1"/>
        <v/>
      </c>
      <c r="I389" s="14"/>
      <c r="J389" s="14"/>
      <c r="K389" s="14"/>
    </row>
    <row r="390">
      <c r="A390" s="38" t="str">
        <f t="shared" si="1"/>
        <v/>
      </c>
      <c r="I390" s="14"/>
      <c r="J390" s="14"/>
      <c r="K390" s="14"/>
    </row>
    <row r="391">
      <c r="A391" s="38" t="str">
        <f t="shared" si="1"/>
        <v/>
      </c>
      <c r="I391" s="14"/>
      <c r="J391" s="14"/>
      <c r="K391" s="14"/>
    </row>
    <row r="392">
      <c r="A392" s="38" t="str">
        <f t="shared" si="1"/>
        <v/>
      </c>
      <c r="I392" s="14"/>
      <c r="J392" s="14"/>
      <c r="K392" s="14"/>
    </row>
    <row r="393">
      <c r="A393" s="38" t="str">
        <f t="shared" si="1"/>
        <v/>
      </c>
      <c r="I393" s="14"/>
      <c r="J393" s="14"/>
      <c r="K393" s="14"/>
    </row>
    <row r="394">
      <c r="A394" s="38" t="str">
        <f t="shared" si="1"/>
        <v/>
      </c>
      <c r="I394" s="14"/>
      <c r="J394" s="14"/>
      <c r="K394" s="14"/>
    </row>
    <row r="395">
      <c r="A395" s="38" t="str">
        <f t="shared" si="1"/>
        <v/>
      </c>
      <c r="I395" s="14"/>
      <c r="J395" s="14"/>
      <c r="K395" s="14"/>
    </row>
    <row r="396">
      <c r="A396" s="38" t="str">
        <f t="shared" si="1"/>
        <v/>
      </c>
      <c r="I396" s="14"/>
      <c r="J396" s="14"/>
      <c r="K396" s="14"/>
    </row>
    <row r="397">
      <c r="A397" s="38" t="str">
        <f t="shared" si="1"/>
        <v/>
      </c>
      <c r="I397" s="14"/>
      <c r="J397" s="14"/>
      <c r="K397" s="14"/>
    </row>
    <row r="398">
      <c r="A398" s="38" t="str">
        <f t="shared" si="1"/>
        <v/>
      </c>
      <c r="I398" s="14"/>
      <c r="J398" s="14"/>
      <c r="K398" s="14"/>
    </row>
    <row r="399">
      <c r="A399" s="38" t="str">
        <f t="shared" si="1"/>
        <v/>
      </c>
      <c r="I399" s="14"/>
      <c r="J399" s="14"/>
      <c r="K399" s="14"/>
    </row>
    <row r="400">
      <c r="A400" s="38" t="str">
        <f t="shared" si="1"/>
        <v/>
      </c>
      <c r="I400" s="14"/>
      <c r="J400" s="14"/>
      <c r="K400" s="14"/>
    </row>
    <row r="401">
      <c r="A401" s="38" t="str">
        <f t="shared" si="1"/>
        <v/>
      </c>
      <c r="I401" s="14"/>
      <c r="J401" s="14"/>
      <c r="K401" s="14"/>
    </row>
    <row r="402">
      <c r="A402" s="38" t="str">
        <f t="shared" si="1"/>
        <v/>
      </c>
      <c r="I402" s="14"/>
      <c r="J402" s="14"/>
      <c r="K402" s="14"/>
    </row>
    <row r="403">
      <c r="A403" s="38" t="str">
        <f t="shared" si="1"/>
        <v/>
      </c>
      <c r="I403" s="14"/>
      <c r="J403" s="14"/>
      <c r="K403" s="14"/>
    </row>
    <row r="404">
      <c r="A404" s="38" t="str">
        <f t="shared" si="1"/>
        <v/>
      </c>
      <c r="I404" s="14"/>
      <c r="J404" s="14"/>
      <c r="K404" s="14"/>
    </row>
    <row r="405">
      <c r="A405" s="38" t="str">
        <f t="shared" si="1"/>
        <v/>
      </c>
      <c r="I405" s="14"/>
      <c r="J405" s="14"/>
      <c r="K405" s="14"/>
    </row>
    <row r="406">
      <c r="A406" s="38" t="str">
        <f t="shared" si="1"/>
        <v/>
      </c>
      <c r="I406" s="14"/>
      <c r="J406" s="14"/>
      <c r="K406" s="14"/>
    </row>
    <row r="407">
      <c r="A407" s="38" t="str">
        <f t="shared" si="1"/>
        <v/>
      </c>
      <c r="I407" s="14"/>
      <c r="J407" s="14"/>
      <c r="K407" s="14"/>
    </row>
    <row r="408">
      <c r="A408" s="38" t="str">
        <f t="shared" si="1"/>
        <v/>
      </c>
      <c r="I408" s="14"/>
      <c r="J408" s="14"/>
      <c r="K408" s="14"/>
    </row>
    <row r="409">
      <c r="A409" s="38" t="str">
        <f t="shared" si="1"/>
        <v/>
      </c>
      <c r="I409" s="14"/>
      <c r="J409" s="14"/>
      <c r="K409" s="14"/>
    </row>
    <row r="410">
      <c r="A410" s="38" t="str">
        <f t="shared" si="1"/>
        <v/>
      </c>
      <c r="I410" s="14"/>
      <c r="J410" s="14"/>
      <c r="K410" s="14"/>
    </row>
    <row r="411">
      <c r="A411" s="38" t="str">
        <f t="shared" si="1"/>
        <v/>
      </c>
      <c r="I411" s="14"/>
      <c r="J411" s="14"/>
      <c r="K411" s="14"/>
    </row>
    <row r="412">
      <c r="A412" s="38" t="str">
        <f t="shared" si="1"/>
        <v/>
      </c>
      <c r="I412" s="14"/>
      <c r="J412" s="14"/>
      <c r="K412" s="14"/>
    </row>
    <row r="413">
      <c r="A413" s="38" t="str">
        <f t="shared" si="1"/>
        <v/>
      </c>
      <c r="I413" s="14"/>
      <c r="J413" s="14"/>
      <c r="K413" s="14"/>
    </row>
    <row r="414">
      <c r="A414" s="38" t="str">
        <f t="shared" si="1"/>
        <v/>
      </c>
      <c r="I414" s="14"/>
      <c r="J414" s="14"/>
      <c r="K414" s="14"/>
    </row>
    <row r="415">
      <c r="A415" s="38" t="str">
        <f t="shared" si="1"/>
        <v/>
      </c>
      <c r="I415" s="14"/>
      <c r="J415" s="14"/>
      <c r="K415" s="14"/>
    </row>
    <row r="416">
      <c r="A416" s="38" t="str">
        <f t="shared" si="1"/>
        <v/>
      </c>
      <c r="I416" s="14"/>
      <c r="J416" s="14"/>
      <c r="K416" s="14"/>
    </row>
    <row r="417">
      <c r="A417" s="38" t="str">
        <f t="shared" si="1"/>
        <v/>
      </c>
      <c r="I417" s="14"/>
      <c r="J417" s="14"/>
      <c r="K417" s="14"/>
    </row>
    <row r="418">
      <c r="A418" s="38" t="str">
        <f t="shared" si="1"/>
        <v/>
      </c>
      <c r="I418" s="14"/>
      <c r="J418" s="14"/>
      <c r="K418" s="14"/>
    </row>
    <row r="419">
      <c r="A419" s="38" t="str">
        <f t="shared" si="1"/>
        <v/>
      </c>
      <c r="I419" s="14"/>
      <c r="J419" s="14"/>
      <c r="K419" s="14"/>
    </row>
    <row r="420">
      <c r="A420" s="38" t="str">
        <f t="shared" si="1"/>
        <v/>
      </c>
      <c r="I420" s="14"/>
      <c r="J420" s="14"/>
      <c r="K420" s="14"/>
    </row>
    <row r="421">
      <c r="A421" s="38" t="str">
        <f t="shared" si="1"/>
        <v/>
      </c>
      <c r="I421" s="14"/>
      <c r="J421" s="14"/>
      <c r="K421" s="14"/>
    </row>
    <row r="422">
      <c r="A422" s="38" t="str">
        <f t="shared" si="1"/>
        <v/>
      </c>
      <c r="I422" s="14"/>
      <c r="J422" s="14"/>
      <c r="K422" s="14"/>
    </row>
    <row r="423">
      <c r="A423" s="38" t="str">
        <f t="shared" si="1"/>
        <v/>
      </c>
      <c r="I423" s="14"/>
      <c r="J423" s="14"/>
      <c r="K423" s="14"/>
    </row>
    <row r="424">
      <c r="A424" s="38" t="str">
        <f t="shared" si="1"/>
        <v/>
      </c>
      <c r="I424" s="14"/>
      <c r="J424" s="14"/>
      <c r="K424" s="14"/>
    </row>
    <row r="425">
      <c r="A425" s="38" t="str">
        <f t="shared" si="1"/>
        <v/>
      </c>
      <c r="I425" s="14"/>
      <c r="J425" s="14"/>
      <c r="K425" s="14"/>
    </row>
    <row r="426">
      <c r="A426" s="38" t="str">
        <f t="shared" si="1"/>
        <v/>
      </c>
      <c r="I426" s="14"/>
      <c r="J426" s="14"/>
      <c r="K426" s="14"/>
    </row>
    <row r="427">
      <c r="A427" s="38" t="str">
        <f t="shared" si="1"/>
        <v/>
      </c>
      <c r="I427" s="14"/>
      <c r="J427" s="14"/>
      <c r="K427" s="14"/>
    </row>
    <row r="428">
      <c r="A428" s="38" t="str">
        <f t="shared" si="1"/>
        <v/>
      </c>
      <c r="I428" s="14"/>
      <c r="J428" s="14"/>
      <c r="K428" s="14"/>
    </row>
    <row r="429">
      <c r="A429" s="38" t="str">
        <f t="shared" si="1"/>
        <v/>
      </c>
      <c r="I429" s="14"/>
      <c r="J429" s="14"/>
      <c r="K429" s="14"/>
    </row>
    <row r="430">
      <c r="A430" s="38" t="str">
        <f t="shared" si="1"/>
        <v/>
      </c>
      <c r="I430" s="14"/>
      <c r="J430" s="14"/>
      <c r="K430" s="14"/>
    </row>
    <row r="431">
      <c r="A431" s="38" t="str">
        <f t="shared" si="1"/>
        <v/>
      </c>
      <c r="I431" s="14"/>
      <c r="J431" s="14"/>
      <c r="K431" s="14"/>
    </row>
    <row r="432">
      <c r="A432" s="38" t="str">
        <f t="shared" si="1"/>
        <v/>
      </c>
      <c r="I432" s="14"/>
      <c r="J432" s="14"/>
      <c r="K432" s="14"/>
    </row>
    <row r="433">
      <c r="A433" s="38" t="str">
        <f t="shared" si="1"/>
        <v/>
      </c>
      <c r="I433" s="14"/>
      <c r="J433" s="14"/>
      <c r="K433" s="14"/>
    </row>
    <row r="434">
      <c r="A434" s="38" t="str">
        <f t="shared" si="1"/>
        <v/>
      </c>
      <c r="I434" s="14"/>
      <c r="J434" s="14"/>
      <c r="K434" s="14"/>
    </row>
    <row r="435">
      <c r="A435" s="38" t="str">
        <f t="shared" si="1"/>
        <v/>
      </c>
      <c r="I435" s="14"/>
      <c r="J435" s="14"/>
      <c r="K435" s="14"/>
    </row>
    <row r="436">
      <c r="A436" s="38" t="str">
        <f t="shared" si="1"/>
        <v/>
      </c>
      <c r="I436" s="14"/>
      <c r="J436" s="14"/>
      <c r="K436" s="14"/>
    </row>
    <row r="437">
      <c r="A437" s="38" t="str">
        <f t="shared" si="1"/>
        <v/>
      </c>
      <c r="I437" s="14"/>
      <c r="J437" s="14"/>
      <c r="K437" s="14"/>
    </row>
    <row r="438">
      <c r="A438" s="38" t="str">
        <f t="shared" si="1"/>
        <v/>
      </c>
      <c r="I438" s="14"/>
      <c r="J438" s="14"/>
      <c r="K438" s="14"/>
    </row>
    <row r="439">
      <c r="A439" s="38" t="str">
        <f t="shared" si="1"/>
        <v/>
      </c>
      <c r="I439" s="14"/>
      <c r="J439" s="14"/>
      <c r="K439" s="14"/>
    </row>
    <row r="440">
      <c r="A440" s="38" t="str">
        <f t="shared" si="1"/>
        <v/>
      </c>
      <c r="I440" s="14"/>
      <c r="J440" s="14"/>
      <c r="K440" s="14"/>
    </row>
    <row r="441">
      <c r="A441" s="38" t="str">
        <f t="shared" si="1"/>
        <v/>
      </c>
      <c r="I441" s="14"/>
      <c r="J441" s="14"/>
      <c r="K441" s="14"/>
    </row>
    <row r="442">
      <c r="A442" s="38" t="str">
        <f t="shared" si="1"/>
        <v/>
      </c>
      <c r="I442" s="14"/>
      <c r="J442" s="14"/>
      <c r="K442" s="14"/>
    </row>
    <row r="443">
      <c r="A443" s="38" t="str">
        <f t="shared" si="1"/>
        <v/>
      </c>
      <c r="I443" s="14"/>
      <c r="J443" s="14"/>
      <c r="K443" s="14"/>
    </row>
    <row r="444">
      <c r="A444" s="38" t="str">
        <f t="shared" si="1"/>
        <v/>
      </c>
      <c r="I444" s="14"/>
      <c r="J444" s="14"/>
      <c r="K444" s="14"/>
    </row>
    <row r="445">
      <c r="A445" s="38" t="str">
        <f t="shared" si="1"/>
        <v/>
      </c>
      <c r="I445" s="14"/>
      <c r="J445" s="14"/>
      <c r="K445" s="14"/>
    </row>
    <row r="446">
      <c r="A446" s="38" t="str">
        <f t="shared" si="1"/>
        <v/>
      </c>
      <c r="I446" s="14"/>
      <c r="J446" s="14"/>
      <c r="K446" s="14"/>
    </row>
    <row r="447">
      <c r="A447" s="38" t="str">
        <f t="shared" si="1"/>
        <v/>
      </c>
      <c r="I447" s="14"/>
      <c r="J447" s="14"/>
      <c r="K447" s="14"/>
    </row>
    <row r="448">
      <c r="A448" s="38" t="str">
        <f t="shared" si="1"/>
        <v/>
      </c>
      <c r="I448" s="14"/>
      <c r="J448" s="14"/>
      <c r="K448" s="14"/>
    </row>
    <row r="449">
      <c r="A449" s="38" t="str">
        <f t="shared" si="1"/>
        <v/>
      </c>
      <c r="I449" s="14"/>
      <c r="J449" s="14"/>
      <c r="K449" s="14"/>
    </row>
    <row r="450">
      <c r="A450" s="38" t="str">
        <f t="shared" si="1"/>
        <v/>
      </c>
      <c r="I450" s="14"/>
      <c r="J450" s="14"/>
      <c r="K450" s="14"/>
    </row>
    <row r="451">
      <c r="A451" s="38" t="str">
        <f t="shared" si="1"/>
        <v/>
      </c>
      <c r="I451" s="14"/>
      <c r="J451" s="14"/>
      <c r="K451" s="14"/>
    </row>
    <row r="452">
      <c r="A452" s="38" t="str">
        <f t="shared" si="1"/>
        <v/>
      </c>
      <c r="I452" s="14"/>
      <c r="J452" s="14"/>
      <c r="K452" s="14"/>
    </row>
    <row r="453">
      <c r="A453" s="38" t="str">
        <f t="shared" si="1"/>
        <v/>
      </c>
      <c r="I453" s="14"/>
      <c r="J453" s="14"/>
      <c r="K453" s="14"/>
    </row>
    <row r="454">
      <c r="A454" s="38" t="str">
        <f t="shared" si="1"/>
        <v/>
      </c>
      <c r="I454" s="14"/>
      <c r="J454" s="14"/>
      <c r="K454" s="14"/>
    </row>
    <row r="455">
      <c r="A455" s="38" t="str">
        <f t="shared" si="1"/>
        <v/>
      </c>
      <c r="I455" s="14"/>
      <c r="J455" s="14"/>
      <c r="K455" s="14"/>
    </row>
    <row r="456">
      <c r="A456" s="38" t="str">
        <f t="shared" si="1"/>
        <v/>
      </c>
      <c r="I456" s="14"/>
      <c r="J456" s="14"/>
      <c r="K456" s="14"/>
    </row>
    <row r="457">
      <c r="A457" s="38" t="str">
        <f t="shared" si="1"/>
        <v/>
      </c>
      <c r="I457" s="14"/>
      <c r="J457" s="14"/>
      <c r="K457" s="14"/>
    </row>
    <row r="458">
      <c r="A458" s="38" t="str">
        <f t="shared" si="1"/>
        <v/>
      </c>
      <c r="I458" s="14"/>
      <c r="J458" s="14"/>
      <c r="K458" s="14"/>
    </row>
    <row r="459">
      <c r="A459" s="38" t="str">
        <f t="shared" si="1"/>
        <v/>
      </c>
      <c r="I459" s="14"/>
      <c r="J459" s="14"/>
      <c r="K459" s="14"/>
    </row>
    <row r="460">
      <c r="A460" s="38" t="str">
        <f t="shared" si="1"/>
        <v/>
      </c>
      <c r="I460" s="14"/>
      <c r="J460" s="14"/>
      <c r="K460" s="14"/>
    </row>
    <row r="461">
      <c r="A461" s="38" t="str">
        <f t="shared" si="1"/>
        <v/>
      </c>
      <c r="I461" s="14"/>
      <c r="J461" s="14"/>
      <c r="K461" s="14"/>
    </row>
    <row r="462">
      <c r="A462" s="38" t="str">
        <f t="shared" si="1"/>
        <v/>
      </c>
      <c r="I462" s="14"/>
      <c r="J462" s="14"/>
      <c r="K462" s="14"/>
    </row>
    <row r="463">
      <c r="A463" s="38" t="str">
        <f t="shared" si="1"/>
        <v/>
      </c>
      <c r="I463" s="14"/>
      <c r="J463" s="14"/>
      <c r="K463" s="14"/>
    </row>
    <row r="464">
      <c r="A464" s="38" t="str">
        <f t="shared" si="1"/>
        <v/>
      </c>
      <c r="I464" s="14"/>
      <c r="J464" s="14"/>
      <c r="K464" s="14"/>
    </row>
    <row r="465">
      <c r="A465" s="38" t="str">
        <f t="shared" si="1"/>
        <v/>
      </c>
      <c r="I465" s="14"/>
      <c r="J465" s="14"/>
      <c r="K465" s="14"/>
    </row>
    <row r="466">
      <c r="A466" s="38" t="str">
        <f t="shared" si="1"/>
        <v/>
      </c>
      <c r="I466" s="14"/>
      <c r="J466" s="14"/>
      <c r="K466" s="14"/>
    </row>
    <row r="467">
      <c r="A467" s="38" t="str">
        <f t="shared" si="1"/>
        <v/>
      </c>
      <c r="I467" s="14"/>
      <c r="J467" s="14"/>
      <c r="K467" s="14"/>
    </row>
    <row r="468">
      <c r="A468" s="38" t="str">
        <f t="shared" si="1"/>
        <v/>
      </c>
      <c r="I468" s="14"/>
      <c r="J468" s="14"/>
      <c r="K468" s="14"/>
    </row>
    <row r="469">
      <c r="A469" s="38" t="str">
        <f t="shared" si="1"/>
        <v/>
      </c>
      <c r="I469" s="14"/>
      <c r="J469" s="14"/>
      <c r="K469" s="14"/>
    </row>
    <row r="470">
      <c r="A470" s="38" t="str">
        <f t="shared" si="1"/>
        <v/>
      </c>
      <c r="I470" s="14"/>
      <c r="J470" s="14"/>
      <c r="K470" s="14"/>
    </row>
    <row r="471">
      <c r="A471" s="38" t="str">
        <f t="shared" si="1"/>
        <v/>
      </c>
      <c r="I471" s="14"/>
      <c r="J471" s="14"/>
      <c r="K471" s="14"/>
    </row>
    <row r="472">
      <c r="A472" s="38" t="str">
        <f t="shared" si="1"/>
        <v/>
      </c>
      <c r="I472" s="14"/>
      <c r="J472" s="14"/>
      <c r="K472" s="14"/>
    </row>
    <row r="473">
      <c r="A473" s="38" t="str">
        <f t="shared" si="1"/>
        <v/>
      </c>
      <c r="I473" s="14"/>
      <c r="J473" s="14"/>
      <c r="K473" s="14"/>
    </row>
    <row r="474">
      <c r="A474" s="38" t="str">
        <f t="shared" si="1"/>
        <v/>
      </c>
      <c r="I474" s="14"/>
      <c r="J474" s="14"/>
      <c r="K474" s="14"/>
    </row>
    <row r="475">
      <c r="A475" s="38" t="str">
        <f t="shared" si="1"/>
        <v/>
      </c>
      <c r="I475" s="14"/>
      <c r="J475" s="14"/>
      <c r="K475" s="14"/>
    </row>
    <row r="476">
      <c r="A476" s="38" t="str">
        <f t="shared" si="1"/>
        <v/>
      </c>
      <c r="I476" s="14"/>
      <c r="J476" s="14"/>
      <c r="K476" s="14"/>
    </row>
    <row r="477">
      <c r="A477" s="38" t="str">
        <f t="shared" si="1"/>
        <v/>
      </c>
      <c r="I477" s="14"/>
      <c r="J477" s="14"/>
      <c r="K477" s="14"/>
    </row>
    <row r="478">
      <c r="A478" s="38" t="str">
        <f t="shared" si="1"/>
        <v/>
      </c>
      <c r="I478" s="14"/>
      <c r="J478" s="14"/>
      <c r="K478" s="14"/>
    </row>
    <row r="479">
      <c r="A479" s="38" t="str">
        <f t="shared" si="1"/>
        <v/>
      </c>
      <c r="I479" s="14"/>
      <c r="J479" s="14"/>
      <c r="K479" s="14"/>
    </row>
    <row r="480">
      <c r="A480" s="38" t="str">
        <f t="shared" si="1"/>
        <v/>
      </c>
      <c r="I480" s="14"/>
      <c r="J480" s="14"/>
      <c r="K480" s="14"/>
    </row>
    <row r="481">
      <c r="A481" s="38" t="str">
        <f t="shared" si="1"/>
        <v/>
      </c>
      <c r="I481" s="14"/>
      <c r="J481" s="14"/>
      <c r="K481" s="14"/>
    </row>
    <row r="482">
      <c r="A482" s="38" t="str">
        <f t="shared" si="1"/>
        <v/>
      </c>
      <c r="I482" s="14"/>
      <c r="J482" s="14"/>
      <c r="K482" s="14"/>
    </row>
    <row r="483">
      <c r="A483" s="38" t="str">
        <f t="shared" si="1"/>
        <v/>
      </c>
      <c r="I483" s="14"/>
      <c r="J483" s="14"/>
      <c r="K483" s="14"/>
    </row>
    <row r="484">
      <c r="A484" s="38" t="str">
        <f t="shared" si="1"/>
        <v/>
      </c>
      <c r="I484" s="14"/>
      <c r="J484" s="14"/>
      <c r="K484" s="14"/>
    </row>
    <row r="485">
      <c r="A485" s="38" t="str">
        <f t="shared" si="1"/>
        <v/>
      </c>
      <c r="I485" s="14"/>
      <c r="J485" s="14"/>
      <c r="K485" s="14"/>
    </row>
    <row r="486">
      <c r="A486" s="38" t="str">
        <f t="shared" si="1"/>
        <v/>
      </c>
      <c r="I486" s="14"/>
      <c r="J486" s="14"/>
      <c r="K486" s="14"/>
    </row>
    <row r="487">
      <c r="A487" s="38" t="str">
        <f t="shared" si="1"/>
        <v/>
      </c>
      <c r="I487" s="14"/>
      <c r="J487" s="14"/>
      <c r="K487" s="14"/>
    </row>
    <row r="488">
      <c r="A488" s="38" t="str">
        <f t="shared" si="1"/>
        <v/>
      </c>
      <c r="I488" s="14"/>
      <c r="J488" s="14"/>
      <c r="K488" s="14"/>
    </row>
    <row r="489">
      <c r="A489" s="38" t="str">
        <f t="shared" si="1"/>
        <v/>
      </c>
      <c r="I489" s="14"/>
      <c r="J489" s="14"/>
      <c r="K489" s="14"/>
    </row>
    <row r="490">
      <c r="A490" s="38" t="str">
        <f t="shared" si="1"/>
        <v/>
      </c>
      <c r="I490" s="14"/>
      <c r="J490" s="14"/>
      <c r="K490" s="14"/>
    </row>
    <row r="491">
      <c r="A491" s="38" t="str">
        <f t="shared" si="1"/>
        <v/>
      </c>
      <c r="I491" s="14"/>
      <c r="J491" s="14"/>
      <c r="K491" s="14"/>
    </row>
    <row r="492">
      <c r="A492" s="38" t="str">
        <f t="shared" si="1"/>
        <v/>
      </c>
      <c r="I492" s="14"/>
      <c r="J492" s="14"/>
      <c r="K492" s="14"/>
    </row>
    <row r="493">
      <c r="A493" s="38" t="str">
        <f t="shared" si="1"/>
        <v/>
      </c>
      <c r="I493" s="14"/>
      <c r="J493" s="14"/>
      <c r="K493" s="14"/>
    </row>
    <row r="494">
      <c r="A494" s="38" t="str">
        <f t="shared" si="1"/>
        <v/>
      </c>
      <c r="I494" s="14"/>
      <c r="J494" s="14"/>
      <c r="K494" s="14"/>
    </row>
    <row r="495">
      <c r="A495" s="38" t="str">
        <f t="shared" si="1"/>
        <v/>
      </c>
      <c r="I495" s="14"/>
      <c r="J495" s="14"/>
      <c r="K495" s="14"/>
    </row>
    <row r="496">
      <c r="A496" s="38" t="str">
        <f t="shared" si="1"/>
        <v/>
      </c>
      <c r="I496" s="14"/>
      <c r="J496" s="14"/>
      <c r="K496" s="14"/>
    </row>
    <row r="497">
      <c r="A497" s="38" t="str">
        <f t="shared" si="1"/>
        <v/>
      </c>
      <c r="I497" s="14"/>
      <c r="J497" s="14"/>
      <c r="K497" s="14"/>
    </row>
    <row r="498">
      <c r="A498" s="38" t="str">
        <f t="shared" si="1"/>
        <v/>
      </c>
      <c r="I498" s="14"/>
      <c r="J498" s="14"/>
      <c r="K498" s="14"/>
    </row>
    <row r="499">
      <c r="A499" s="38" t="str">
        <f t="shared" si="1"/>
        <v/>
      </c>
      <c r="I499" s="14"/>
      <c r="J499" s="14"/>
      <c r="K499" s="14"/>
    </row>
    <row r="500">
      <c r="A500" s="38" t="str">
        <f t="shared" si="1"/>
        <v/>
      </c>
      <c r="I500" s="14"/>
      <c r="J500" s="14"/>
      <c r="K500" s="14"/>
    </row>
    <row r="501">
      <c r="A501" s="38" t="str">
        <f t="shared" si="1"/>
        <v/>
      </c>
      <c r="I501" s="14"/>
      <c r="J501" s="14"/>
      <c r="K501" s="14"/>
    </row>
    <row r="502">
      <c r="A502" s="38" t="str">
        <f t="shared" si="1"/>
        <v/>
      </c>
      <c r="I502" s="14"/>
      <c r="J502" s="14"/>
      <c r="K502" s="14"/>
    </row>
    <row r="503">
      <c r="A503" s="38" t="str">
        <f t="shared" si="1"/>
        <v/>
      </c>
      <c r="I503" s="14"/>
      <c r="J503" s="14"/>
      <c r="K503" s="14"/>
    </row>
    <row r="504">
      <c r="A504" s="38" t="str">
        <f t="shared" si="1"/>
        <v/>
      </c>
      <c r="I504" s="14"/>
      <c r="J504" s="14"/>
      <c r="K504" s="14"/>
    </row>
    <row r="505">
      <c r="A505" s="38" t="str">
        <f t="shared" si="1"/>
        <v/>
      </c>
      <c r="I505" s="14"/>
      <c r="J505" s="14"/>
      <c r="K505" s="14"/>
    </row>
    <row r="506">
      <c r="A506" s="38" t="str">
        <f t="shared" si="1"/>
        <v/>
      </c>
      <c r="I506" s="14"/>
      <c r="J506" s="14"/>
      <c r="K506" s="14"/>
    </row>
    <row r="507">
      <c r="A507" s="38" t="str">
        <f t="shared" si="1"/>
        <v/>
      </c>
      <c r="I507" s="14"/>
      <c r="J507" s="14"/>
      <c r="K507" s="14"/>
    </row>
    <row r="508">
      <c r="A508" s="38" t="str">
        <f t="shared" si="1"/>
        <v/>
      </c>
      <c r="I508" s="14"/>
      <c r="J508" s="14"/>
      <c r="K508" s="14"/>
    </row>
    <row r="509">
      <c r="A509" s="38" t="str">
        <f t="shared" si="1"/>
        <v/>
      </c>
      <c r="I509" s="14"/>
      <c r="J509" s="14"/>
      <c r="K509" s="14"/>
    </row>
    <row r="510">
      <c r="A510" s="38" t="str">
        <f t="shared" si="1"/>
        <v/>
      </c>
      <c r="I510" s="14"/>
      <c r="J510" s="14"/>
      <c r="K510" s="14"/>
    </row>
    <row r="511">
      <c r="A511" s="38" t="str">
        <f t="shared" si="1"/>
        <v/>
      </c>
      <c r="I511" s="14"/>
      <c r="J511" s="14"/>
      <c r="K511" s="14"/>
    </row>
    <row r="512">
      <c r="A512" s="38" t="str">
        <f t="shared" si="1"/>
        <v/>
      </c>
      <c r="I512" s="14"/>
      <c r="J512" s="14"/>
      <c r="K512" s="14"/>
    </row>
    <row r="513">
      <c r="A513" s="38" t="str">
        <f t="shared" si="1"/>
        <v/>
      </c>
      <c r="I513" s="14"/>
      <c r="J513" s="14"/>
      <c r="K513" s="14"/>
    </row>
    <row r="514">
      <c r="A514" s="38" t="str">
        <f t="shared" si="1"/>
        <v/>
      </c>
      <c r="I514" s="14"/>
      <c r="J514" s="14"/>
      <c r="K514" s="14"/>
    </row>
    <row r="515">
      <c r="A515" s="38" t="str">
        <f t="shared" si="1"/>
        <v/>
      </c>
      <c r="I515" s="14"/>
      <c r="J515" s="14"/>
      <c r="K515" s="14"/>
    </row>
    <row r="516">
      <c r="A516" s="38" t="str">
        <f t="shared" si="1"/>
        <v/>
      </c>
      <c r="I516" s="14"/>
      <c r="J516" s="14"/>
      <c r="K516" s="14"/>
    </row>
    <row r="517">
      <c r="A517" s="38" t="str">
        <f t="shared" si="1"/>
        <v/>
      </c>
      <c r="I517" s="14"/>
      <c r="J517" s="14"/>
      <c r="K517" s="14"/>
    </row>
    <row r="518">
      <c r="A518" s="38" t="str">
        <f t="shared" si="1"/>
        <v/>
      </c>
      <c r="I518" s="14"/>
      <c r="J518" s="14"/>
      <c r="K518" s="14"/>
    </row>
    <row r="519">
      <c r="A519" s="38" t="str">
        <f t="shared" si="1"/>
        <v/>
      </c>
      <c r="I519" s="14"/>
      <c r="J519" s="14"/>
      <c r="K519" s="14"/>
    </row>
    <row r="520">
      <c r="A520" s="38" t="str">
        <f t="shared" si="1"/>
        <v/>
      </c>
      <c r="I520" s="14"/>
      <c r="J520" s="14"/>
      <c r="K520" s="14"/>
    </row>
    <row r="521">
      <c r="A521" s="38" t="str">
        <f t="shared" si="1"/>
        <v/>
      </c>
      <c r="I521" s="14"/>
      <c r="J521" s="14"/>
      <c r="K521" s="14"/>
    </row>
    <row r="522">
      <c r="A522" s="38" t="str">
        <f t="shared" si="1"/>
        <v/>
      </c>
      <c r="I522" s="14"/>
      <c r="J522" s="14"/>
      <c r="K522" s="14"/>
    </row>
    <row r="523">
      <c r="A523" s="38" t="str">
        <f t="shared" si="1"/>
        <v/>
      </c>
      <c r="I523" s="14"/>
      <c r="J523" s="14"/>
      <c r="K523" s="14"/>
    </row>
    <row r="524">
      <c r="A524" s="38" t="str">
        <f t="shared" si="1"/>
        <v/>
      </c>
      <c r="I524" s="14"/>
      <c r="J524" s="14"/>
      <c r="K524" s="14"/>
    </row>
    <row r="525">
      <c r="A525" s="38" t="str">
        <f t="shared" si="1"/>
        <v/>
      </c>
      <c r="I525" s="14"/>
      <c r="J525" s="14"/>
      <c r="K525" s="14"/>
    </row>
    <row r="526">
      <c r="A526" s="38" t="str">
        <f t="shared" si="1"/>
        <v/>
      </c>
      <c r="I526" s="14"/>
      <c r="J526" s="14"/>
      <c r="K526" s="14"/>
    </row>
    <row r="527">
      <c r="A527" s="38" t="str">
        <f t="shared" si="1"/>
        <v/>
      </c>
      <c r="I527" s="14"/>
      <c r="J527" s="14"/>
      <c r="K527" s="14"/>
    </row>
    <row r="528">
      <c r="A528" s="38" t="str">
        <f t="shared" si="1"/>
        <v/>
      </c>
      <c r="I528" s="14"/>
      <c r="J528" s="14"/>
      <c r="K528" s="14"/>
    </row>
    <row r="529">
      <c r="A529" s="38" t="str">
        <f t="shared" si="1"/>
        <v/>
      </c>
      <c r="I529" s="14"/>
      <c r="J529" s="14"/>
      <c r="K529" s="14"/>
    </row>
    <row r="530">
      <c r="A530" s="38" t="str">
        <f t="shared" si="1"/>
        <v/>
      </c>
      <c r="I530" s="14"/>
      <c r="J530" s="14"/>
      <c r="K530" s="14"/>
    </row>
    <row r="531">
      <c r="A531" s="38" t="str">
        <f t="shared" si="1"/>
        <v/>
      </c>
      <c r="I531" s="14"/>
      <c r="J531" s="14"/>
      <c r="K531" s="14"/>
    </row>
    <row r="532">
      <c r="A532" s="38" t="str">
        <f t="shared" si="1"/>
        <v/>
      </c>
      <c r="I532" s="14"/>
      <c r="J532" s="14"/>
      <c r="K532" s="14"/>
    </row>
    <row r="533">
      <c r="A533" s="38" t="str">
        <f t="shared" si="1"/>
        <v/>
      </c>
      <c r="I533" s="14"/>
      <c r="J533" s="14"/>
      <c r="K533" s="14"/>
    </row>
    <row r="534">
      <c r="A534" s="38" t="str">
        <f t="shared" si="1"/>
        <v/>
      </c>
      <c r="I534" s="14"/>
      <c r="J534" s="14"/>
      <c r="K534" s="14"/>
    </row>
    <row r="535">
      <c r="A535" s="38" t="str">
        <f t="shared" si="1"/>
        <v/>
      </c>
      <c r="I535" s="14"/>
      <c r="J535" s="14"/>
      <c r="K535" s="14"/>
    </row>
    <row r="536">
      <c r="A536" s="38" t="str">
        <f t="shared" si="1"/>
        <v/>
      </c>
      <c r="I536" s="14"/>
      <c r="J536" s="14"/>
      <c r="K536" s="14"/>
    </row>
    <row r="537">
      <c r="A537" s="38" t="str">
        <f t="shared" si="1"/>
        <v/>
      </c>
      <c r="I537" s="14"/>
      <c r="J537" s="14"/>
      <c r="K537" s="14"/>
    </row>
    <row r="538">
      <c r="A538" s="38" t="str">
        <f t="shared" si="1"/>
        <v/>
      </c>
      <c r="I538" s="14"/>
      <c r="J538" s="14"/>
      <c r="K538" s="14"/>
    </row>
    <row r="539">
      <c r="A539" s="38" t="str">
        <f t="shared" si="1"/>
        <v/>
      </c>
      <c r="I539" s="14"/>
      <c r="J539" s="14"/>
      <c r="K539" s="14"/>
    </row>
    <row r="540">
      <c r="A540" s="38" t="str">
        <f t="shared" si="1"/>
        <v/>
      </c>
      <c r="I540" s="14"/>
      <c r="J540" s="14"/>
      <c r="K540" s="14"/>
    </row>
    <row r="541">
      <c r="A541" s="38" t="str">
        <f t="shared" si="1"/>
        <v/>
      </c>
      <c r="I541" s="14"/>
      <c r="J541" s="14"/>
      <c r="K541" s="14"/>
    </row>
    <row r="542">
      <c r="A542" s="38" t="str">
        <f t="shared" si="1"/>
        <v/>
      </c>
      <c r="I542" s="14"/>
      <c r="J542" s="14"/>
      <c r="K542" s="14"/>
    </row>
    <row r="543">
      <c r="A543" s="38" t="str">
        <f t="shared" si="1"/>
        <v/>
      </c>
      <c r="I543" s="14"/>
      <c r="J543" s="14"/>
      <c r="K543" s="14"/>
    </row>
    <row r="544">
      <c r="A544" s="38" t="str">
        <f t="shared" si="1"/>
        <v/>
      </c>
      <c r="I544" s="14"/>
      <c r="J544" s="14"/>
      <c r="K544" s="14"/>
    </row>
    <row r="545">
      <c r="A545" s="38" t="str">
        <f t="shared" si="1"/>
        <v/>
      </c>
      <c r="I545" s="14"/>
      <c r="J545" s="14"/>
      <c r="K545" s="14"/>
    </row>
    <row r="546">
      <c r="A546" s="38" t="str">
        <f t="shared" si="1"/>
        <v/>
      </c>
      <c r="I546" s="14"/>
      <c r="J546" s="14"/>
      <c r="K546" s="14"/>
    </row>
    <row r="547">
      <c r="A547" s="38" t="str">
        <f t="shared" si="1"/>
        <v/>
      </c>
      <c r="I547" s="14"/>
      <c r="J547" s="14"/>
      <c r="K547" s="14"/>
    </row>
    <row r="548">
      <c r="A548" s="38" t="str">
        <f t="shared" si="1"/>
        <v/>
      </c>
      <c r="I548" s="14"/>
      <c r="J548" s="14"/>
      <c r="K548" s="14"/>
    </row>
    <row r="549">
      <c r="A549" s="38" t="str">
        <f t="shared" si="1"/>
        <v/>
      </c>
      <c r="I549" s="14"/>
      <c r="J549" s="14"/>
      <c r="K549" s="14"/>
    </row>
    <row r="550">
      <c r="A550" s="38" t="str">
        <f t="shared" si="1"/>
        <v/>
      </c>
      <c r="I550" s="14"/>
      <c r="J550" s="14"/>
      <c r="K550" s="14"/>
    </row>
    <row r="551">
      <c r="A551" s="38" t="str">
        <f t="shared" si="1"/>
        <v/>
      </c>
      <c r="I551" s="14"/>
      <c r="J551" s="14"/>
      <c r="K551" s="14"/>
    </row>
    <row r="552">
      <c r="A552" s="38" t="str">
        <f t="shared" si="1"/>
        <v/>
      </c>
      <c r="I552" s="14"/>
      <c r="J552" s="14"/>
      <c r="K552" s="14"/>
    </row>
    <row r="553">
      <c r="A553" s="38" t="str">
        <f t="shared" si="1"/>
        <v/>
      </c>
      <c r="I553" s="14"/>
      <c r="J553" s="14"/>
      <c r="K553" s="14"/>
    </row>
    <row r="554">
      <c r="A554" s="38" t="str">
        <f t="shared" si="1"/>
        <v/>
      </c>
      <c r="I554" s="14"/>
      <c r="J554" s="14"/>
      <c r="K554" s="14"/>
    </row>
    <row r="555">
      <c r="A555" s="38" t="str">
        <f t="shared" si="1"/>
        <v/>
      </c>
      <c r="I555" s="14"/>
      <c r="J555" s="14"/>
      <c r="K555" s="14"/>
    </row>
    <row r="556">
      <c r="A556" s="38" t="str">
        <f t="shared" si="1"/>
        <v/>
      </c>
      <c r="I556" s="14"/>
      <c r="J556" s="14"/>
      <c r="K556" s="14"/>
    </row>
    <row r="557">
      <c r="A557" s="38" t="str">
        <f t="shared" si="1"/>
        <v/>
      </c>
      <c r="I557" s="14"/>
      <c r="J557" s="14"/>
      <c r="K557" s="14"/>
    </row>
    <row r="558">
      <c r="A558" s="38" t="str">
        <f t="shared" si="1"/>
        <v/>
      </c>
      <c r="I558" s="14"/>
      <c r="J558" s="14"/>
      <c r="K558" s="14"/>
    </row>
    <row r="559">
      <c r="A559" s="38" t="str">
        <f t="shared" si="1"/>
        <v/>
      </c>
      <c r="I559" s="14"/>
      <c r="J559" s="14"/>
      <c r="K559" s="14"/>
    </row>
    <row r="560">
      <c r="A560" s="38" t="str">
        <f t="shared" si="1"/>
        <v/>
      </c>
      <c r="I560" s="14"/>
      <c r="J560" s="14"/>
      <c r="K560" s="14"/>
    </row>
    <row r="561">
      <c r="A561" s="38" t="str">
        <f t="shared" si="1"/>
        <v/>
      </c>
      <c r="I561" s="14"/>
      <c r="J561" s="14"/>
      <c r="K561" s="14"/>
    </row>
    <row r="562">
      <c r="A562" s="38" t="str">
        <f t="shared" si="1"/>
        <v/>
      </c>
      <c r="I562" s="14"/>
      <c r="J562" s="14"/>
      <c r="K562" s="14"/>
    </row>
    <row r="563">
      <c r="A563" s="38" t="str">
        <f t="shared" si="1"/>
        <v/>
      </c>
      <c r="I563" s="14"/>
      <c r="J563" s="14"/>
      <c r="K563" s="14"/>
    </row>
    <row r="564">
      <c r="A564" s="38" t="str">
        <f t="shared" si="1"/>
        <v/>
      </c>
      <c r="I564" s="14"/>
      <c r="J564" s="14"/>
      <c r="K564" s="14"/>
    </row>
    <row r="565">
      <c r="A565" s="38" t="str">
        <f t="shared" si="1"/>
        <v/>
      </c>
      <c r="I565" s="14"/>
      <c r="J565" s="14"/>
      <c r="K565" s="14"/>
    </row>
    <row r="566">
      <c r="A566" s="38" t="str">
        <f t="shared" si="1"/>
        <v/>
      </c>
      <c r="I566" s="14"/>
      <c r="J566" s="14"/>
      <c r="K566" s="14"/>
    </row>
    <row r="567">
      <c r="A567" s="38" t="str">
        <f t="shared" si="1"/>
        <v/>
      </c>
      <c r="I567" s="14"/>
      <c r="J567" s="14"/>
      <c r="K567" s="14"/>
    </row>
    <row r="568">
      <c r="A568" s="38" t="str">
        <f t="shared" si="1"/>
        <v/>
      </c>
      <c r="I568" s="14"/>
      <c r="J568" s="14"/>
      <c r="K568" s="14"/>
    </row>
    <row r="569">
      <c r="A569" s="38" t="str">
        <f t="shared" si="1"/>
        <v/>
      </c>
      <c r="I569" s="14"/>
      <c r="J569" s="14"/>
      <c r="K569" s="14"/>
    </row>
    <row r="570">
      <c r="A570" s="38" t="str">
        <f t="shared" si="1"/>
        <v/>
      </c>
      <c r="I570" s="14"/>
      <c r="J570" s="14"/>
      <c r="K570" s="14"/>
    </row>
    <row r="571">
      <c r="A571" s="38" t="str">
        <f t="shared" si="1"/>
        <v/>
      </c>
      <c r="I571" s="14"/>
      <c r="J571" s="14"/>
      <c r="K571" s="14"/>
    </row>
    <row r="572">
      <c r="A572" s="38" t="str">
        <f t="shared" si="1"/>
        <v/>
      </c>
      <c r="I572" s="14"/>
      <c r="J572" s="14"/>
      <c r="K572" s="14"/>
    </row>
    <row r="573">
      <c r="A573" s="38" t="str">
        <f t="shared" si="1"/>
        <v/>
      </c>
      <c r="I573" s="14"/>
      <c r="J573" s="14"/>
      <c r="K573" s="14"/>
    </row>
    <row r="574">
      <c r="A574" s="38" t="str">
        <f t="shared" si="1"/>
        <v/>
      </c>
      <c r="I574" s="14"/>
      <c r="J574" s="14"/>
      <c r="K574" s="14"/>
    </row>
    <row r="575">
      <c r="A575" s="38" t="str">
        <f t="shared" si="1"/>
        <v/>
      </c>
      <c r="I575" s="14"/>
      <c r="J575" s="14"/>
      <c r="K575" s="14"/>
    </row>
    <row r="576">
      <c r="A576" s="38" t="str">
        <f t="shared" si="1"/>
        <v/>
      </c>
      <c r="I576" s="14"/>
      <c r="J576" s="14"/>
      <c r="K576" s="14"/>
    </row>
    <row r="577">
      <c r="A577" s="38" t="str">
        <f t="shared" si="1"/>
        <v/>
      </c>
      <c r="I577" s="14"/>
      <c r="J577" s="14"/>
      <c r="K577" s="14"/>
    </row>
    <row r="578">
      <c r="A578" s="38" t="str">
        <f t="shared" si="1"/>
        <v/>
      </c>
      <c r="I578" s="14"/>
      <c r="J578" s="14"/>
      <c r="K578" s="14"/>
    </row>
    <row r="579">
      <c r="A579" s="38" t="str">
        <f t="shared" si="1"/>
        <v/>
      </c>
      <c r="I579" s="14"/>
      <c r="J579" s="14"/>
      <c r="K579" s="14"/>
    </row>
    <row r="580">
      <c r="A580" s="38" t="str">
        <f t="shared" si="1"/>
        <v/>
      </c>
      <c r="I580" s="14"/>
      <c r="J580" s="14"/>
      <c r="K580" s="14"/>
    </row>
    <row r="581">
      <c r="A581" s="38" t="str">
        <f t="shared" si="1"/>
        <v/>
      </c>
      <c r="I581" s="14"/>
      <c r="J581" s="14"/>
      <c r="K581" s="14"/>
    </row>
    <row r="582">
      <c r="A582" s="38" t="str">
        <f t="shared" si="1"/>
        <v/>
      </c>
      <c r="I582" s="14"/>
      <c r="J582" s="14"/>
      <c r="K582" s="14"/>
    </row>
    <row r="583">
      <c r="A583" s="38" t="str">
        <f t="shared" si="1"/>
        <v/>
      </c>
      <c r="I583" s="14"/>
      <c r="J583" s="14"/>
      <c r="K583" s="14"/>
    </row>
    <row r="584">
      <c r="A584" s="38" t="str">
        <f t="shared" si="1"/>
        <v/>
      </c>
      <c r="I584" s="14"/>
      <c r="J584" s="14"/>
      <c r="K584" s="14"/>
    </row>
    <row r="585">
      <c r="A585" s="38" t="str">
        <f t="shared" si="1"/>
        <v/>
      </c>
      <c r="I585" s="14"/>
      <c r="J585" s="14"/>
      <c r="K585" s="14"/>
    </row>
    <row r="586">
      <c r="A586" s="38" t="str">
        <f t="shared" si="1"/>
        <v/>
      </c>
      <c r="I586" s="14"/>
      <c r="J586" s="14"/>
      <c r="K586" s="14"/>
    </row>
    <row r="587">
      <c r="A587" s="38" t="str">
        <f t="shared" si="1"/>
        <v/>
      </c>
      <c r="I587" s="14"/>
      <c r="J587" s="14"/>
      <c r="K587" s="14"/>
    </row>
    <row r="588">
      <c r="A588" s="38" t="str">
        <f t="shared" si="1"/>
        <v/>
      </c>
      <c r="I588" s="14"/>
      <c r="J588" s="14"/>
      <c r="K588" s="14"/>
    </row>
    <row r="589">
      <c r="A589" s="38" t="str">
        <f t="shared" si="1"/>
        <v/>
      </c>
      <c r="I589" s="14"/>
      <c r="J589" s="14"/>
      <c r="K589" s="14"/>
    </row>
    <row r="590">
      <c r="A590" s="38" t="str">
        <f t="shared" si="1"/>
        <v/>
      </c>
      <c r="I590" s="14"/>
      <c r="J590" s="14"/>
      <c r="K590" s="14"/>
    </row>
    <row r="591">
      <c r="A591" s="38" t="str">
        <f t="shared" si="1"/>
        <v/>
      </c>
      <c r="I591" s="14"/>
      <c r="J591" s="14"/>
      <c r="K591" s="14"/>
    </row>
    <row r="592">
      <c r="A592" s="38" t="str">
        <f t="shared" si="1"/>
        <v/>
      </c>
      <c r="I592" s="14"/>
      <c r="J592" s="14"/>
      <c r="K592" s="14"/>
    </row>
    <row r="593">
      <c r="A593" s="38" t="str">
        <f t="shared" si="1"/>
        <v/>
      </c>
      <c r="I593" s="14"/>
      <c r="J593" s="14"/>
      <c r="K593" s="14"/>
    </row>
    <row r="594">
      <c r="A594" s="38" t="str">
        <f t="shared" si="1"/>
        <v/>
      </c>
      <c r="I594" s="14"/>
      <c r="J594" s="14"/>
      <c r="K594" s="14"/>
    </row>
    <row r="595">
      <c r="A595" s="38" t="str">
        <f t="shared" si="1"/>
        <v/>
      </c>
      <c r="I595" s="14"/>
      <c r="J595" s="14"/>
      <c r="K595" s="14"/>
    </row>
    <row r="596">
      <c r="A596" s="38" t="str">
        <f t="shared" si="1"/>
        <v/>
      </c>
      <c r="I596" s="14"/>
      <c r="J596" s="14"/>
      <c r="K596" s="14"/>
    </row>
    <row r="597">
      <c r="A597" s="38" t="str">
        <f t="shared" si="1"/>
        <v/>
      </c>
      <c r="I597" s="14"/>
      <c r="J597" s="14"/>
      <c r="K597" s="14"/>
    </row>
    <row r="598">
      <c r="A598" s="38" t="str">
        <f t="shared" si="1"/>
        <v/>
      </c>
      <c r="I598" s="14"/>
      <c r="J598" s="14"/>
      <c r="K598" s="14"/>
    </row>
    <row r="599">
      <c r="A599" s="38" t="str">
        <f t="shared" si="1"/>
        <v/>
      </c>
      <c r="I599" s="14"/>
      <c r="J599" s="14"/>
      <c r="K599" s="14"/>
    </row>
    <row r="600">
      <c r="A600" s="38" t="str">
        <f t="shared" si="1"/>
        <v/>
      </c>
      <c r="I600" s="14"/>
      <c r="J600" s="14"/>
      <c r="K600" s="14"/>
    </row>
    <row r="601">
      <c r="A601" s="38" t="str">
        <f t="shared" si="1"/>
        <v/>
      </c>
      <c r="I601" s="14"/>
      <c r="J601" s="14"/>
      <c r="K601" s="14"/>
    </row>
    <row r="602">
      <c r="A602" s="38" t="str">
        <f t="shared" si="1"/>
        <v/>
      </c>
      <c r="I602" s="14"/>
      <c r="J602" s="14"/>
      <c r="K602" s="14"/>
    </row>
    <row r="603">
      <c r="A603" s="38" t="str">
        <f t="shared" si="1"/>
        <v/>
      </c>
      <c r="I603" s="14"/>
      <c r="J603" s="14"/>
      <c r="K603" s="14"/>
    </row>
    <row r="604">
      <c r="A604" s="38" t="str">
        <f t="shared" si="1"/>
        <v/>
      </c>
      <c r="I604" s="14"/>
      <c r="J604" s="14"/>
      <c r="K604" s="14"/>
    </row>
    <row r="605">
      <c r="A605" s="38" t="str">
        <f t="shared" si="1"/>
        <v/>
      </c>
      <c r="I605" s="14"/>
      <c r="J605" s="14"/>
      <c r="K605" s="14"/>
    </row>
    <row r="606">
      <c r="A606" s="38" t="str">
        <f t="shared" si="1"/>
        <v/>
      </c>
      <c r="I606" s="14"/>
      <c r="J606" s="14"/>
      <c r="K606" s="14"/>
    </row>
    <row r="607">
      <c r="A607" s="38" t="str">
        <f t="shared" si="1"/>
        <v/>
      </c>
      <c r="I607" s="14"/>
      <c r="J607" s="14"/>
      <c r="K607" s="14"/>
    </row>
    <row r="608">
      <c r="A608" s="38" t="str">
        <f t="shared" si="1"/>
        <v/>
      </c>
      <c r="I608" s="14"/>
      <c r="J608" s="14"/>
      <c r="K608" s="14"/>
    </row>
    <row r="609">
      <c r="A609" s="38" t="str">
        <f t="shared" si="1"/>
        <v/>
      </c>
      <c r="I609" s="14"/>
      <c r="J609" s="14"/>
      <c r="K609" s="14"/>
    </row>
    <row r="610">
      <c r="A610" s="38" t="str">
        <f t="shared" si="1"/>
        <v/>
      </c>
      <c r="I610" s="14"/>
      <c r="J610" s="14"/>
      <c r="K610" s="14"/>
    </row>
    <row r="611">
      <c r="A611" s="38" t="str">
        <f t="shared" si="1"/>
        <v/>
      </c>
      <c r="I611" s="14"/>
      <c r="J611" s="14"/>
      <c r="K611" s="14"/>
    </row>
    <row r="612">
      <c r="A612" s="38" t="str">
        <f t="shared" si="1"/>
        <v/>
      </c>
      <c r="I612" s="14"/>
      <c r="J612" s="14"/>
      <c r="K612" s="14"/>
    </row>
    <row r="613">
      <c r="A613" s="38" t="str">
        <f t="shared" si="1"/>
        <v/>
      </c>
      <c r="I613" s="14"/>
      <c r="J613" s="14"/>
      <c r="K613" s="14"/>
    </row>
    <row r="614">
      <c r="A614" s="38" t="str">
        <f t="shared" si="1"/>
        <v/>
      </c>
      <c r="I614" s="14"/>
      <c r="J614" s="14"/>
      <c r="K614" s="14"/>
    </row>
    <row r="615">
      <c r="A615" s="38" t="str">
        <f t="shared" si="1"/>
        <v/>
      </c>
      <c r="I615" s="14"/>
      <c r="J615" s="14"/>
      <c r="K615" s="14"/>
    </row>
    <row r="616">
      <c r="A616" s="38" t="str">
        <f t="shared" si="1"/>
        <v/>
      </c>
      <c r="I616" s="14"/>
      <c r="J616" s="14"/>
      <c r="K616" s="14"/>
    </row>
    <row r="617">
      <c r="A617" s="38" t="str">
        <f t="shared" si="1"/>
        <v/>
      </c>
      <c r="I617" s="14"/>
      <c r="J617" s="14"/>
      <c r="K617" s="14"/>
    </row>
    <row r="618">
      <c r="A618" s="38" t="str">
        <f t="shared" si="1"/>
        <v/>
      </c>
      <c r="I618" s="14"/>
      <c r="J618" s="14"/>
      <c r="K618" s="14"/>
    </row>
    <row r="619">
      <c r="A619" s="38" t="str">
        <f t="shared" si="1"/>
        <v/>
      </c>
      <c r="I619" s="14"/>
      <c r="J619" s="14"/>
      <c r="K619" s="14"/>
    </row>
    <row r="620">
      <c r="A620" s="38" t="str">
        <f t="shared" si="1"/>
        <v/>
      </c>
      <c r="I620" s="14"/>
      <c r="J620" s="14"/>
      <c r="K620" s="14"/>
    </row>
    <row r="621">
      <c r="A621" s="38" t="str">
        <f t="shared" si="1"/>
        <v/>
      </c>
      <c r="I621" s="14"/>
      <c r="J621" s="14"/>
      <c r="K621" s="14"/>
    </row>
    <row r="622">
      <c r="A622" s="38" t="str">
        <f t="shared" si="1"/>
        <v/>
      </c>
      <c r="I622" s="14"/>
      <c r="J622" s="14"/>
      <c r="K622" s="14"/>
    </row>
    <row r="623">
      <c r="A623" s="38" t="str">
        <f t="shared" si="1"/>
        <v/>
      </c>
      <c r="I623" s="14"/>
      <c r="J623" s="14"/>
      <c r="K623" s="14"/>
    </row>
    <row r="624">
      <c r="A624" s="38" t="str">
        <f t="shared" si="1"/>
        <v/>
      </c>
      <c r="I624" s="14"/>
      <c r="J624" s="14"/>
      <c r="K624" s="14"/>
    </row>
    <row r="625">
      <c r="A625" s="38" t="str">
        <f t="shared" si="1"/>
        <v/>
      </c>
      <c r="I625" s="14"/>
      <c r="J625" s="14"/>
      <c r="K625" s="14"/>
    </row>
    <row r="626">
      <c r="A626" s="38" t="str">
        <f t="shared" si="1"/>
        <v/>
      </c>
      <c r="I626" s="14"/>
      <c r="J626" s="14"/>
      <c r="K626" s="14"/>
    </row>
    <row r="627">
      <c r="A627" s="38" t="str">
        <f t="shared" si="1"/>
        <v/>
      </c>
      <c r="I627" s="14"/>
      <c r="J627" s="14"/>
      <c r="K627" s="14"/>
    </row>
    <row r="628">
      <c r="A628" s="38" t="str">
        <f t="shared" si="1"/>
        <v/>
      </c>
      <c r="I628" s="14"/>
      <c r="J628" s="14"/>
      <c r="K628" s="14"/>
    </row>
    <row r="629">
      <c r="A629" s="38" t="str">
        <f t="shared" si="1"/>
        <v/>
      </c>
      <c r="I629" s="14"/>
      <c r="J629" s="14"/>
      <c r="K629" s="14"/>
    </row>
    <row r="630">
      <c r="A630" s="38" t="str">
        <f t="shared" si="1"/>
        <v/>
      </c>
      <c r="I630" s="14"/>
      <c r="J630" s="14"/>
      <c r="K630" s="14"/>
    </row>
    <row r="631">
      <c r="A631" s="38" t="str">
        <f t="shared" si="1"/>
        <v/>
      </c>
      <c r="I631" s="14"/>
      <c r="J631" s="14"/>
      <c r="K631" s="14"/>
    </row>
    <row r="632">
      <c r="A632" s="38" t="str">
        <f t="shared" si="1"/>
        <v/>
      </c>
      <c r="I632" s="14"/>
      <c r="J632" s="14"/>
      <c r="K632" s="14"/>
    </row>
    <row r="633">
      <c r="A633" s="38" t="str">
        <f t="shared" si="1"/>
        <v/>
      </c>
      <c r="I633" s="14"/>
      <c r="J633" s="14"/>
      <c r="K633" s="14"/>
    </row>
    <row r="634">
      <c r="A634" s="38" t="str">
        <f t="shared" si="1"/>
        <v/>
      </c>
      <c r="I634" s="14"/>
      <c r="J634" s="14"/>
      <c r="K634" s="14"/>
    </row>
    <row r="635">
      <c r="A635" s="38" t="str">
        <f t="shared" si="1"/>
        <v/>
      </c>
      <c r="I635" s="14"/>
      <c r="J635" s="14"/>
      <c r="K635" s="14"/>
    </row>
    <row r="636">
      <c r="A636" s="38" t="str">
        <f t="shared" si="1"/>
        <v/>
      </c>
      <c r="I636" s="14"/>
      <c r="J636" s="14"/>
      <c r="K636" s="14"/>
    </row>
    <row r="637">
      <c r="A637" s="38" t="str">
        <f t="shared" si="1"/>
        <v/>
      </c>
      <c r="I637" s="14"/>
      <c r="J637" s="14"/>
      <c r="K637" s="14"/>
    </row>
    <row r="638">
      <c r="A638" s="38" t="str">
        <f t="shared" si="1"/>
        <v/>
      </c>
      <c r="I638" s="14"/>
      <c r="J638" s="14"/>
      <c r="K638" s="14"/>
    </row>
    <row r="639">
      <c r="A639" s="38" t="str">
        <f t="shared" si="1"/>
        <v/>
      </c>
      <c r="I639" s="14"/>
      <c r="J639" s="14"/>
      <c r="K639" s="14"/>
    </row>
    <row r="640">
      <c r="A640" s="38" t="str">
        <f t="shared" si="1"/>
        <v/>
      </c>
      <c r="I640" s="14"/>
      <c r="J640" s="14"/>
      <c r="K640" s="14"/>
    </row>
    <row r="641">
      <c r="A641" s="38" t="str">
        <f t="shared" si="1"/>
        <v/>
      </c>
      <c r="I641" s="14"/>
      <c r="J641" s="14"/>
      <c r="K641" s="14"/>
    </row>
    <row r="642">
      <c r="A642" s="38" t="str">
        <f t="shared" si="1"/>
        <v/>
      </c>
      <c r="I642" s="14"/>
      <c r="J642" s="14"/>
      <c r="K642" s="14"/>
    </row>
    <row r="643">
      <c r="A643" s="38" t="str">
        <f t="shared" si="1"/>
        <v/>
      </c>
      <c r="I643" s="14"/>
      <c r="J643" s="14"/>
      <c r="K643" s="14"/>
    </row>
    <row r="644">
      <c r="A644" s="38" t="str">
        <f t="shared" si="1"/>
        <v/>
      </c>
      <c r="I644" s="14"/>
      <c r="J644" s="14"/>
      <c r="K644" s="14"/>
    </row>
    <row r="645">
      <c r="A645" s="38" t="str">
        <f t="shared" si="1"/>
        <v/>
      </c>
      <c r="I645" s="14"/>
      <c r="J645" s="14"/>
      <c r="K645" s="14"/>
    </row>
    <row r="646">
      <c r="A646" s="38" t="str">
        <f t="shared" si="1"/>
        <v/>
      </c>
      <c r="I646" s="14"/>
      <c r="J646" s="14"/>
      <c r="K646" s="14"/>
    </row>
    <row r="647">
      <c r="A647" s="38" t="str">
        <f t="shared" si="1"/>
        <v/>
      </c>
      <c r="I647" s="14"/>
      <c r="J647" s="14"/>
      <c r="K647" s="14"/>
    </row>
    <row r="648">
      <c r="A648" s="38" t="str">
        <f t="shared" si="1"/>
        <v/>
      </c>
      <c r="I648" s="14"/>
      <c r="J648" s="14"/>
      <c r="K648" s="14"/>
    </row>
    <row r="649">
      <c r="A649" s="38" t="str">
        <f t="shared" si="1"/>
        <v/>
      </c>
      <c r="I649" s="14"/>
      <c r="J649" s="14"/>
      <c r="K649" s="14"/>
    </row>
    <row r="650">
      <c r="A650" s="38" t="str">
        <f t="shared" si="1"/>
        <v/>
      </c>
      <c r="I650" s="14"/>
      <c r="J650" s="14"/>
      <c r="K650" s="14"/>
    </row>
    <row r="651">
      <c r="A651" s="38" t="str">
        <f t="shared" si="1"/>
        <v/>
      </c>
      <c r="I651" s="14"/>
      <c r="J651" s="14"/>
      <c r="K651" s="14"/>
    </row>
    <row r="652">
      <c r="A652" s="38" t="str">
        <f t="shared" si="1"/>
        <v/>
      </c>
      <c r="I652" s="14"/>
      <c r="J652" s="14"/>
      <c r="K652" s="14"/>
    </row>
    <row r="653">
      <c r="A653" s="38" t="str">
        <f t="shared" si="1"/>
        <v/>
      </c>
      <c r="I653" s="14"/>
      <c r="J653" s="14"/>
      <c r="K653" s="14"/>
    </row>
    <row r="654">
      <c r="A654" s="38" t="str">
        <f t="shared" si="1"/>
        <v/>
      </c>
      <c r="I654" s="14"/>
      <c r="J654" s="14"/>
      <c r="K654" s="14"/>
    </row>
    <row r="655">
      <c r="A655" s="38" t="str">
        <f t="shared" si="1"/>
        <v/>
      </c>
      <c r="I655" s="14"/>
      <c r="J655" s="14"/>
      <c r="K655" s="14"/>
    </row>
    <row r="656">
      <c r="A656" s="38" t="str">
        <f t="shared" si="1"/>
        <v/>
      </c>
      <c r="I656" s="14"/>
      <c r="J656" s="14"/>
      <c r="K656" s="14"/>
    </row>
    <row r="657">
      <c r="A657" s="38" t="str">
        <f t="shared" si="1"/>
        <v/>
      </c>
      <c r="I657" s="14"/>
      <c r="J657" s="14"/>
      <c r="K657" s="14"/>
    </row>
    <row r="658">
      <c r="A658" s="38" t="str">
        <f t="shared" si="1"/>
        <v/>
      </c>
      <c r="I658" s="14"/>
      <c r="J658" s="14"/>
      <c r="K658" s="14"/>
    </row>
    <row r="659">
      <c r="A659" s="38" t="str">
        <f t="shared" si="1"/>
        <v/>
      </c>
      <c r="I659" s="14"/>
      <c r="J659" s="14"/>
      <c r="K659" s="14"/>
    </row>
    <row r="660">
      <c r="A660" s="38" t="str">
        <f t="shared" si="1"/>
        <v/>
      </c>
      <c r="I660" s="14"/>
      <c r="J660" s="14"/>
      <c r="K660" s="14"/>
    </row>
    <row r="661">
      <c r="A661" s="38" t="str">
        <f t="shared" si="1"/>
        <v/>
      </c>
      <c r="I661" s="14"/>
      <c r="J661" s="14"/>
      <c r="K661" s="14"/>
    </row>
    <row r="662">
      <c r="A662" s="38" t="str">
        <f t="shared" si="1"/>
        <v/>
      </c>
      <c r="I662" s="14"/>
      <c r="J662" s="14"/>
      <c r="K662" s="14"/>
    </row>
    <row r="663">
      <c r="A663" s="38" t="str">
        <f t="shared" si="1"/>
        <v/>
      </c>
      <c r="I663" s="14"/>
      <c r="J663" s="14"/>
      <c r="K663" s="14"/>
    </row>
    <row r="664">
      <c r="A664" s="38" t="str">
        <f t="shared" si="1"/>
        <v/>
      </c>
      <c r="I664" s="14"/>
      <c r="J664" s="14"/>
      <c r="K664" s="14"/>
    </row>
    <row r="665">
      <c r="A665" s="38" t="str">
        <f t="shared" si="1"/>
        <v/>
      </c>
      <c r="I665" s="14"/>
      <c r="J665" s="14"/>
      <c r="K665" s="14"/>
    </row>
    <row r="666">
      <c r="A666" s="38" t="str">
        <f t="shared" si="1"/>
        <v/>
      </c>
      <c r="I666" s="14"/>
      <c r="J666" s="14"/>
      <c r="K666" s="14"/>
    </row>
    <row r="667">
      <c r="A667" s="38" t="str">
        <f t="shared" si="1"/>
        <v/>
      </c>
      <c r="I667" s="14"/>
      <c r="J667" s="14"/>
      <c r="K667" s="14"/>
    </row>
    <row r="668">
      <c r="A668" s="38" t="str">
        <f t="shared" si="1"/>
        <v/>
      </c>
      <c r="I668" s="14"/>
      <c r="J668" s="14"/>
      <c r="K668" s="14"/>
    </row>
    <row r="669">
      <c r="A669" s="38" t="str">
        <f t="shared" si="1"/>
        <v/>
      </c>
      <c r="I669" s="14"/>
      <c r="J669" s="14"/>
      <c r="K669" s="14"/>
    </row>
    <row r="670">
      <c r="A670" s="38" t="str">
        <f t="shared" si="1"/>
        <v/>
      </c>
      <c r="I670" s="14"/>
      <c r="J670" s="14"/>
      <c r="K670" s="14"/>
    </row>
    <row r="671">
      <c r="A671" s="38" t="str">
        <f t="shared" si="1"/>
        <v/>
      </c>
      <c r="I671" s="14"/>
      <c r="J671" s="14"/>
      <c r="K671" s="14"/>
    </row>
    <row r="672">
      <c r="A672" s="38" t="str">
        <f t="shared" si="1"/>
        <v/>
      </c>
      <c r="I672" s="14"/>
      <c r="J672" s="14"/>
      <c r="K672" s="14"/>
    </row>
    <row r="673">
      <c r="A673" s="38" t="str">
        <f t="shared" si="1"/>
        <v/>
      </c>
      <c r="I673" s="14"/>
      <c r="J673" s="14"/>
      <c r="K673" s="14"/>
    </row>
    <row r="674">
      <c r="A674" s="38" t="str">
        <f t="shared" si="1"/>
        <v/>
      </c>
      <c r="I674" s="14"/>
      <c r="J674" s="14"/>
      <c r="K674" s="14"/>
    </row>
    <row r="675">
      <c r="A675" s="38" t="str">
        <f t="shared" si="1"/>
        <v/>
      </c>
      <c r="I675" s="14"/>
      <c r="J675" s="14"/>
      <c r="K675" s="14"/>
    </row>
    <row r="676">
      <c r="A676" s="38" t="str">
        <f t="shared" si="1"/>
        <v/>
      </c>
      <c r="I676" s="14"/>
      <c r="J676" s="14"/>
      <c r="K676" s="14"/>
    </row>
    <row r="677">
      <c r="A677" s="38" t="str">
        <f t="shared" si="1"/>
        <v/>
      </c>
      <c r="I677" s="14"/>
      <c r="J677" s="14"/>
      <c r="K677" s="14"/>
    </row>
    <row r="678">
      <c r="A678" s="38" t="str">
        <f t="shared" si="1"/>
        <v/>
      </c>
      <c r="I678" s="14"/>
      <c r="J678" s="14"/>
      <c r="K678" s="14"/>
    </row>
    <row r="679">
      <c r="A679" s="38" t="str">
        <f t="shared" si="1"/>
        <v/>
      </c>
      <c r="I679" s="14"/>
      <c r="J679" s="14"/>
      <c r="K679" s="14"/>
    </row>
    <row r="680">
      <c r="A680" s="38" t="str">
        <f t="shared" si="1"/>
        <v/>
      </c>
      <c r="I680" s="14"/>
      <c r="J680" s="14"/>
      <c r="K680" s="14"/>
    </row>
    <row r="681">
      <c r="A681" s="38" t="str">
        <f t="shared" si="1"/>
        <v/>
      </c>
      <c r="I681" s="14"/>
      <c r="J681" s="14"/>
      <c r="K681" s="14"/>
    </row>
    <row r="682">
      <c r="A682" s="38" t="str">
        <f t="shared" si="1"/>
        <v/>
      </c>
      <c r="I682" s="14"/>
      <c r="J682" s="14"/>
      <c r="K682" s="14"/>
    </row>
    <row r="683">
      <c r="A683" s="38" t="str">
        <f t="shared" si="1"/>
        <v/>
      </c>
      <c r="I683" s="14"/>
      <c r="J683" s="14"/>
      <c r="K683" s="14"/>
    </row>
    <row r="684">
      <c r="A684" s="38" t="str">
        <f t="shared" si="1"/>
        <v/>
      </c>
      <c r="I684" s="14"/>
      <c r="J684" s="14"/>
      <c r="K684" s="14"/>
    </row>
    <row r="685">
      <c r="A685" s="38" t="str">
        <f t="shared" si="1"/>
        <v/>
      </c>
      <c r="I685" s="14"/>
      <c r="J685" s="14"/>
      <c r="K685" s="14"/>
    </row>
    <row r="686">
      <c r="A686" s="38" t="str">
        <f t="shared" si="1"/>
        <v/>
      </c>
      <c r="I686" s="14"/>
      <c r="J686" s="14"/>
      <c r="K686" s="14"/>
    </row>
    <row r="687">
      <c r="A687" s="38" t="str">
        <f t="shared" si="1"/>
        <v/>
      </c>
      <c r="I687" s="14"/>
      <c r="J687" s="14"/>
      <c r="K687" s="14"/>
    </row>
    <row r="688">
      <c r="A688" s="38" t="str">
        <f t="shared" si="1"/>
        <v/>
      </c>
      <c r="I688" s="14"/>
      <c r="J688" s="14"/>
      <c r="K688" s="14"/>
    </row>
    <row r="689">
      <c r="A689" s="38" t="str">
        <f t="shared" si="1"/>
        <v/>
      </c>
      <c r="I689" s="14"/>
      <c r="J689" s="14"/>
      <c r="K689" s="14"/>
    </row>
    <row r="690">
      <c r="A690" s="38" t="str">
        <f t="shared" si="1"/>
        <v/>
      </c>
      <c r="I690" s="14"/>
      <c r="J690" s="14"/>
      <c r="K690" s="14"/>
    </row>
    <row r="691">
      <c r="A691" s="38" t="str">
        <f t="shared" si="1"/>
        <v/>
      </c>
      <c r="I691" s="14"/>
      <c r="J691" s="14"/>
      <c r="K691" s="14"/>
    </row>
    <row r="692">
      <c r="A692" s="38" t="str">
        <f t="shared" si="1"/>
        <v/>
      </c>
      <c r="I692" s="14"/>
      <c r="J692" s="14"/>
      <c r="K692" s="14"/>
    </row>
    <row r="693">
      <c r="A693" s="38" t="str">
        <f t="shared" si="1"/>
        <v/>
      </c>
      <c r="I693" s="14"/>
      <c r="J693" s="14"/>
      <c r="K693" s="14"/>
    </row>
    <row r="694">
      <c r="A694" s="38" t="str">
        <f t="shared" si="1"/>
        <v/>
      </c>
      <c r="I694" s="14"/>
      <c r="J694" s="14"/>
      <c r="K694" s="14"/>
    </row>
    <row r="695">
      <c r="A695" s="38" t="str">
        <f t="shared" si="1"/>
        <v/>
      </c>
      <c r="I695" s="14"/>
      <c r="J695" s="14"/>
      <c r="K695" s="14"/>
    </row>
    <row r="696">
      <c r="A696" s="38" t="str">
        <f t="shared" si="1"/>
        <v/>
      </c>
      <c r="I696" s="14"/>
      <c r="J696" s="14"/>
      <c r="K696" s="14"/>
    </row>
    <row r="697">
      <c r="A697" s="38" t="str">
        <f t="shared" si="1"/>
        <v/>
      </c>
      <c r="I697" s="14"/>
      <c r="J697" s="14"/>
      <c r="K697" s="14"/>
    </row>
    <row r="698">
      <c r="A698" s="38" t="str">
        <f t="shared" si="1"/>
        <v/>
      </c>
      <c r="I698" s="14"/>
      <c r="J698" s="14"/>
      <c r="K698" s="14"/>
    </row>
    <row r="699">
      <c r="A699" s="38" t="str">
        <f t="shared" si="1"/>
        <v/>
      </c>
      <c r="I699" s="14"/>
      <c r="J699" s="14"/>
      <c r="K699" s="14"/>
    </row>
    <row r="700">
      <c r="A700" s="38" t="str">
        <f t="shared" si="1"/>
        <v/>
      </c>
      <c r="I700" s="14"/>
      <c r="J700" s="14"/>
      <c r="K700" s="14"/>
    </row>
    <row r="701">
      <c r="A701" s="38" t="str">
        <f t="shared" si="1"/>
        <v/>
      </c>
      <c r="I701" s="14"/>
      <c r="J701" s="14"/>
      <c r="K701" s="14"/>
    </row>
    <row r="702">
      <c r="A702" s="38" t="str">
        <f t="shared" si="1"/>
        <v/>
      </c>
      <c r="I702" s="14"/>
      <c r="J702" s="14"/>
      <c r="K702" s="14"/>
    </row>
    <row r="703">
      <c r="A703" s="38" t="str">
        <f t="shared" si="1"/>
        <v/>
      </c>
      <c r="I703" s="14"/>
      <c r="J703" s="14"/>
      <c r="K703" s="14"/>
    </row>
    <row r="704">
      <c r="A704" s="38" t="str">
        <f t="shared" si="1"/>
        <v/>
      </c>
      <c r="I704" s="14"/>
      <c r="J704" s="14"/>
      <c r="K704" s="14"/>
    </row>
    <row r="705">
      <c r="A705" s="38" t="str">
        <f t="shared" si="1"/>
        <v/>
      </c>
      <c r="I705" s="14"/>
      <c r="J705" s="14"/>
      <c r="K705" s="14"/>
    </row>
    <row r="706">
      <c r="A706" s="38" t="str">
        <f t="shared" si="1"/>
        <v/>
      </c>
      <c r="I706" s="14"/>
      <c r="J706" s="14"/>
      <c r="K706" s="14"/>
    </row>
    <row r="707">
      <c r="A707" s="38" t="str">
        <f t="shared" si="1"/>
        <v/>
      </c>
      <c r="I707" s="14"/>
      <c r="J707" s="14"/>
      <c r="K707" s="14"/>
    </row>
    <row r="708">
      <c r="A708" s="38" t="str">
        <f t="shared" si="1"/>
        <v/>
      </c>
      <c r="I708" s="14"/>
      <c r="J708" s="14"/>
      <c r="K708" s="14"/>
    </row>
    <row r="709">
      <c r="A709" s="38" t="str">
        <f t="shared" si="1"/>
        <v/>
      </c>
      <c r="I709" s="14"/>
      <c r="J709" s="14"/>
      <c r="K709" s="14"/>
    </row>
    <row r="710">
      <c r="A710" s="38" t="str">
        <f t="shared" si="1"/>
        <v/>
      </c>
      <c r="I710" s="14"/>
      <c r="J710" s="14"/>
      <c r="K710" s="14"/>
    </row>
    <row r="711">
      <c r="A711" s="38" t="str">
        <f t="shared" si="1"/>
        <v/>
      </c>
      <c r="I711" s="14"/>
      <c r="J711" s="14"/>
      <c r="K711" s="14"/>
    </row>
    <row r="712">
      <c r="A712" s="38" t="str">
        <f t="shared" si="1"/>
        <v/>
      </c>
      <c r="I712" s="14"/>
      <c r="J712" s="14"/>
      <c r="K712" s="14"/>
    </row>
    <row r="713">
      <c r="A713" s="38" t="str">
        <f t="shared" si="1"/>
        <v/>
      </c>
      <c r="I713" s="14"/>
      <c r="J713" s="14"/>
      <c r="K713" s="14"/>
    </row>
    <row r="714">
      <c r="A714" s="38" t="str">
        <f t="shared" si="1"/>
        <v/>
      </c>
      <c r="I714" s="14"/>
      <c r="J714" s="14"/>
      <c r="K714" s="14"/>
    </row>
    <row r="715">
      <c r="A715" s="38" t="str">
        <f t="shared" si="1"/>
        <v/>
      </c>
      <c r="I715" s="14"/>
      <c r="J715" s="14"/>
      <c r="K715" s="14"/>
    </row>
    <row r="716">
      <c r="A716" s="38" t="str">
        <f t="shared" si="1"/>
        <v/>
      </c>
      <c r="I716" s="14"/>
      <c r="J716" s="14"/>
      <c r="K716" s="14"/>
    </row>
    <row r="717">
      <c r="A717" s="38" t="str">
        <f t="shared" si="1"/>
        <v/>
      </c>
      <c r="I717" s="14"/>
      <c r="J717" s="14"/>
      <c r="K717" s="14"/>
    </row>
    <row r="718">
      <c r="A718" s="38" t="str">
        <f t="shared" si="1"/>
        <v/>
      </c>
      <c r="I718" s="14"/>
      <c r="J718" s="14"/>
      <c r="K718" s="14"/>
    </row>
    <row r="719">
      <c r="A719" s="38" t="str">
        <f t="shared" si="1"/>
        <v/>
      </c>
      <c r="I719" s="14"/>
      <c r="J719" s="14"/>
      <c r="K719" s="14"/>
    </row>
    <row r="720">
      <c r="A720" s="38" t="str">
        <f t="shared" si="1"/>
        <v/>
      </c>
      <c r="I720" s="14"/>
      <c r="J720" s="14"/>
      <c r="K720" s="14"/>
    </row>
    <row r="721">
      <c r="A721" s="38" t="str">
        <f t="shared" si="1"/>
        <v/>
      </c>
      <c r="I721" s="14"/>
      <c r="J721" s="14"/>
      <c r="K721" s="14"/>
    </row>
    <row r="722">
      <c r="A722" s="38" t="str">
        <f t="shared" si="1"/>
        <v/>
      </c>
      <c r="I722" s="14"/>
      <c r="J722" s="14"/>
      <c r="K722" s="14"/>
    </row>
    <row r="723">
      <c r="A723" s="38" t="str">
        <f t="shared" si="1"/>
        <v/>
      </c>
      <c r="I723" s="14"/>
      <c r="J723" s="14"/>
      <c r="K723" s="14"/>
    </row>
    <row r="724">
      <c r="A724" s="38" t="str">
        <f t="shared" si="1"/>
        <v/>
      </c>
      <c r="I724" s="14"/>
      <c r="J724" s="14"/>
      <c r="K724" s="14"/>
    </row>
    <row r="725">
      <c r="A725" s="38" t="str">
        <f t="shared" si="1"/>
        <v/>
      </c>
      <c r="I725" s="14"/>
      <c r="J725" s="14"/>
      <c r="K725" s="14"/>
    </row>
    <row r="726">
      <c r="A726" s="38" t="str">
        <f t="shared" si="1"/>
        <v/>
      </c>
      <c r="I726" s="14"/>
      <c r="J726" s="14"/>
      <c r="K726" s="14"/>
    </row>
    <row r="727">
      <c r="A727" s="38" t="str">
        <f t="shared" si="1"/>
        <v/>
      </c>
      <c r="I727" s="14"/>
      <c r="J727" s="14"/>
      <c r="K727" s="14"/>
    </row>
    <row r="728">
      <c r="A728" s="38" t="str">
        <f t="shared" si="1"/>
        <v/>
      </c>
      <c r="I728" s="14"/>
      <c r="J728" s="14"/>
      <c r="K728" s="14"/>
    </row>
    <row r="729">
      <c r="A729" s="38" t="str">
        <f t="shared" si="1"/>
        <v/>
      </c>
      <c r="I729" s="14"/>
      <c r="J729" s="14"/>
      <c r="K729" s="14"/>
    </row>
    <row r="730">
      <c r="A730" s="38" t="str">
        <f t="shared" si="1"/>
        <v/>
      </c>
      <c r="I730" s="14"/>
      <c r="J730" s="14"/>
      <c r="K730" s="14"/>
    </row>
    <row r="731">
      <c r="A731" s="38" t="str">
        <f t="shared" si="1"/>
        <v/>
      </c>
      <c r="I731" s="14"/>
      <c r="J731" s="14"/>
      <c r="K731" s="14"/>
    </row>
    <row r="732">
      <c r="A732" s="38" t="str">
        <f t="shared" si="1"/>
        <v/>
      </c>
      <c r="I732" s="14"/>
      <c r="J732" s="14"/>
      <c r="K732" s="14"/>
    </row>
    <row r="733">
      <c r="A733" s="38" t="str">
        <f t="shared" si="1"/>
        <v/>
      </c>
      <c r="I733" s="14"/>
      <c r="J733" s="14"/>
      <c r="K733" s="14"/>
    </row>
    <row r="734">
      <c r="A734" s="38" t="str">
        <f t="shared" si="1"/>
        <v/>
      </c>
      <c r="I734" s="14"/>
      <c r="J734" s="14"/>
      <c r="K734" s="14"/>
    </row>
    <row r="735">
      <c r="A735" s="38" t="str">
        <f t="shared" si="1"/>
        <v/>
      </c>
      <c r="I735" s="14"/>
      <c r="J735" s="14"/>
      <c r="K735" s="14"/>
    </row>
    <row r="736">
      <c r="A736" s="38" t="str">
        <f t="shared" si="1"/>
        <v/>
      </c>
      <c r="I736" s="14"/>
      <c r="J736" s="14"/>
      <c r="K736" s="14"/>
    </row>
    <row r="737">
      <c r="A737" s="38" t="str">
        <f t="shared" si="1"/>
        <v/>
      </c>
      <c r="I737" s="14"/>
      <c r="J737" s="14"/>
      <c r="K737" s="14"/>
    </row>
    <row r="738">
      <c r="A738" s="38" t="str">
        <f t="shared" si="1"/>
        <v/>
      </c>
      <c r="I738" s="14"/>
      <c r="J738" s="14"/>
      <c r="K738" s="14"/>
    </row>
    <row r="739">
      <c r="A739" s="38" t="str">
        <f t="shared" si="1"/>
        <v/>
      </c>
      <c r="I739" s="14"/>
      <c r="J739" s="14"/>
      <c r="K739" s="14"/>
    </row>
    <row r="740">
      <c r="A740" s="38" t="str">
        <f t="shared" si="1"/>
        <v/>
      </c>
      <c r="I740" s="14"/>
      <c r="J740" s="14"/>
      <c r="K740" s="14"/>
    </row>
    <row r="741">
      <c r="A741" s="38" t="str">
        <f t="shared" si="1"/>
        <v/>
      </c>
      <c r="I741" s="14"/>
      <c r="J741" s="14"/>
      <c r="K741" s="14"/>
    </row>
    <row r="742">
      <c r="A742" s="38" t="str">
        <f t="shared" si="1"/>
        <v/>
      </c>
      <c r="I742" s="14"/>
      <c r="J742" s="14"/>
      <c r="K742" s="14"/>
    </row>
    <row r="743">
      <c r="A743" s="38" t="str">
        <f t="shared" si="1"/>
        <v/>
      </c>
      <c r="I743" s="14"/>
      <c r="J743" s="14"/>
      <c r="K743" s="14"/>
    </row>
    <row r="744">
      <c r="A744" s="38" t="str">
        <f t="shared" si="1"/>
        <v/>
      </c>
      <c r="I744" s="14"/>
      <c r="J744" s="14"/>
      <c r="K744" s="14"/>
    </row>
    <row r="745">
      <c r="A745" s="38" t="str">
        <f t="shared" si="1"/>
        <v/>
      </c>
      <c r="I745" s="14"/>
      <c r="J745" s="14"/>
      <c r="K745" s="14"/>
    </row>
    <row r="746">
      <c r="A746" s="38" t="str">
        <f t="shared" si="1"/>
        <v/>
      </c>
      <c r="I746" s="14"/>
      <c r="J746" s="14"/>
      <c r="K746" s="14"/>
    </row>
    <row r="747">
      <c r="A747" s="38" t="str">
        <f t="shared" si="1"/>
        <v/>
      </c>
      <c r="I747" s="14"/>
      <c r="J747" s="14"/>
      <c r="K747" s="14"/>
    </row>
    <row r="748">
      <c r="A748" s="38" t="str">
        <f t="shared" si="1"/>
        <v/>
      </c>
      <c r="I748" s="14"/>
      <c r="J748" s="14"/>
      <c r="K748" s="14"/>
    </row>
    <row r="749">
      <c r="A749" s="38" t="str">
        <f t="shared" si="1"/>
        <v/>
      </c>
      <c r="I749" s="14"/>
      <c r="J749" s="14"/>
      <c r="K749" s="14"/>
    </row>
    <row r="750">
      <c r="A750" s="38" t="str">
        <f t="shared" si="1"/>
        <v/>
      </c>
      <c r="I750" s="14"/>
      <c r="J750" s="14"/>
      <c r="K750" s="14"/>
    </row>
    <row r="751">
      <c r="A751" s="38" t="str">
        <f t="shared" si="1"/>
        <v/>
      </c>
      <c r="I751" s="14"/>
      <c r="J751" s="14"/>
      <c r="K751" s="14"/>
    </row>
    <row r="752">
      <c r="A752" s="38" t="str">
        <f t="shared" si="1"/>
        <v/>
      </c>
      <c r="I752" s="14"/>
      <c r="J752" s="14"/>
      <c r="K752" s="14"/>
    </row>
    <row r="753">
      <c r="A753" s="38" t="str">
        <f t="shared" si="1"/>
        <v/>
      </c>
      <c r="I753" s="14"/>
      <c r="J753" s="14"/>
      <c r="K753" s="14"/>
    </row>
    <row r="754">
      <c r="A754" s="38" t="str">
        <f t="shared" si="1"/>
        <v/>
      </c>
      <c r="I754" s="14"/>
      <c r="J754" s="14"/>
      <c r="K754" s="14"/>
    </row>
    <row r="755">
      <c r="A755" s="38" t="str">
        <f t="shared" si="1"/>
        <v/>
      </c>
      <c r="I755" s="14"/>
      <c r="J755" s="14"/>
      <c r="K755" s="14"/>
    </row>
    <row r="756">
      <c r="A756" s="38" t="str">
        <f t="shared" si="1"/>
        <v/>
      </c>
      <c r="I756" s="14"/>
      <c r="J756" s="14"/>
      <c r="K756" s="14"/>
    </row>
    <row r="757">
      <c r="A757" s="38" t="str">
        <f t="shared" si="1"/>
        <v/>
      </c>
      <c r="I757" s="14"/>
      <c r="J757" s="14"/>
      <c r="K757" s="14"/>
    </row>
    <row r="758">
      <c r="A758" s="38" t="str">
        <f t="shared" si="1"/>
        <v/>
      </c>
      <c r="I758" s="14"/>
      <c r="J758" s="14"/>
      <c r="K758" s="14"/>
    </row>
    <row r="759">
      <c r="A759" s="38" t="str">
        <f t="shared" si="1"/>
        <v/>
      </c>
      <c r="I759" s="14"/>
      <c r="J759" s="14"/>
      <c r="K759" s="14"/>
    </row>
    <row r="760">
      <c r="A760" s="38" t="str">
        <f t="shared" si="1"/>
        <v/>
      </c>
      <c r="I760" s="14"/>
      <c r="J760" s="14"/>
      <c r="K760" s="14"/>
    </row>
    <row r="761">
      <c r="A761" s="38" t="str">
        <f t="shared" si="1"/>
        <v/>
      </c>
      <c r="I761" s="14"/>
      <c r="J761" s="14"/>
      <c r="K761" s="14"/>
    </row>
    <row r="762">
      <c r="A762" s="38" t="str">
        <f t="shared" si="1"/>
        <v/>
      </c>
      <c r="I762" s="14"/>
      <c r="J762" s="14"/>
      <c r="K762" s="14"/>
    </row>
    <row r="763">
      <c r="A763" s="38" t="str">
        <f t="shared" si="1"/>
        <v/>
      </c>
      <c r="I763" s="14"/>
      <c r="J763" s="14"/>
      <c r="K763" s="14"/>
    </row>
    <row r="764">
      <c r="A764" s="38" t="str">
        <f t="shared" si="1"/>
        <v/>
      </c>
      <c r="I764" s="14"/>
      <c r="J764" s="14"/>
      <c r="K764" s="14"/>
    </row>
    <row r="765">
      <c r="A765" s="38" t="str">
        <f t="shared" si="1"/>
        <v/>
      </c>
      <c r="I765" s="14"/>
      <c r="J765" s="14"/>
      <c r="K765" s="14"/>
    </row>
    <row r="766">
      <c r="A766" s="38" t="str">
        <f t="shared" si="1"/>
        <v/>
      </c>
      <c r="I766" s="14"/>
      <c r="J766" s="14"/>
      <c r="K766" s="14"/>
    </row>
    <row r="767">
      <c r="A767" s="38" t="str">
        <f t="shared" si="1"/>
        <v/>
      </c>
      <c r="I767" s="14"/>
      <c r="J767" s="14"/>
      <c r="K767" s="14"/>
    </row>
    <row r="768">
      <c r="A768" s="38" t="str">
        <f t="shared" si="1"/>
        <v/>
      </c>
      <c r="I768" s="14"/>
      <c r="J768" s="14"/>
      <c r="K768" s="14"/>
    </row>
    <row r="769">
      <c r="A769" s="38" t="str">
        <f t="shared" si="1"/>
        <v/>
      </c>
      <c r="I769" s="14"/>
      <c r="J769" s="14"/>
      <c r="K769" s="14"/>
    </row>
    <row r="770">
      <c r="A770" s="38" t="str">
        <f t="shared" si="1"/>
        <v/>
      </c>
      <c r="I770" s="14"/>
      <c r="J770" s="14"/>
      <c r="K770" s="14"/>
    </row>
    <row r="771">
      <c r="A771" s="38" t="str">
        <f t="shared" si="1"/>
        <v/>
      </c>
      <c r="I771" s="14"/>
      <c r="J771" s="14"/>
      <c r="K771" s="14"/>
    </row>
    <row r="772">
      <c r="A772" s="38" t="str">
        <f t="shared" si="1"/>
        <v/>
      </c>
      <c r="I772" s="14"/>
      <c r="J772" s="14"/>
      <c r="K772" s="14"/>
    </row>
    <row r="773">
      <c r="A773" s="38" t="str">
        <f t="shared" si="1"/>
        <v/>
      </c>
      <c r="I773" s="14"/>
      <c r="J773" s="14"/>
      <c r="K773" s="14"/>
    </row>
    <row r="774">
      <c r="A774" s="38" t="str">
        <f t="shared" si="1"/>
        <v/>
      </c>
      <c r="I774" s="14"/>
      <c r="J774" s="14"/>
      <c r="K774" s="14"/>
    </row>
    <row r="775">
      <c r="A775" s="38" t="str">
        <f t="shared" si="1"/>
        <v/>
      </c>
      <c r="I775" s="14"/>
      <c r="J775" s="14"/>
      <c r="K775" s="14"/>
    </row>
    <row r="776">
      <c r="A776" s="38" t="str">
        <f t="shared" si="1"/>
        <v/>
      </c>
      <c r="I776" s="14"/>
      <c r="J776" s="14"/>
      <c r="K776" s="14"/>
    </row>
    <row r="777">
      <c r="A777" s="38" t="str">
        <f t="shared" si="1"/>
        <v/>
      </c>
      <c r="I777" s="14"/>
      <c r="J777" s="14"/>
      <c r="K777" s="14"/>
    </row>
    <row r="778">
      <c r="A778" s="38" t="str">
        <f t="shared" si="1"/>
        <v/>
      </c>
      <c r="I778" s="14"/>
      <c r="J778" s="14"/>
      <c r="K778" s="14"/>
    </row>
    <row r="779">
      <c r="A779" s="38" t="str">
        <f t="shared" si="1"/>
        <v/>
      </c>
      <c r="I779" s="14"/>
      <c r="J779" s="14"/>
      <c r="K779" s="14"/>
    </row>
    <row r="780">
      <c r="A780" s="38" t="str">
        <f t="shared" si="1"/>
        <v/>
      </c>
      <c r="I780" s="14"/>
      <c r="J780" s="14"/>
      <c r="K780" s="14"/>
    </row>
    <row r="781">
      <c r="A781" s="38" t="str">
        <f t="shared" si="1"/>
        <v/>
      </c>
      <c r="I781" s="14"/>
      <c r="J781" s="14"/>
      <c r="K781" s="14"/>
    </row>
    <row r="782">
      <c r="A782" s="38" t="str">
        <f t="shared" si="1"/>
        <v/>
      </c>
      <c r="I782" s="14"/>
      <c r="J782" s="14"/>
      <c r="K782" s="14"/>
    </row>
    <row r="783">
      <c r="A783" s="38" t="str">
        <f t="shared" si="1"/>
        <v/>
      </c>
      <c r="I783" s="14"/>
      <c r="J783" s="14"/>
      <c r="K783" s="14"/>
    </row>
    <row r="784">
      <c r="A784" s="38" t="str">
        <f t="shared" si="1"/>
        <v/>
      </c>
      <c r="I784" s="14"/>
      <c r="J784" s="14"/>
      <c r="K784" s="14"/>
    </row>
    <row r="785">
      <c r="A785" s="38" t="str">
        <f t="shared" si="1"/>
        <v/>
      </c>
      <c r="I785" s="14"/>
      <c r="J785" s="14"/>
      <c r="K785" s="14"/>
    </row>
    <row r="786">
      <c r="A786" s="38" t="str">
        <f t="shared" si="1"/>
        <v/>
      </c>
      <c r="I786" s="14"/>
      <c r="J786" s="14"/>
      <c r="K786" s="14"/>
    </row>
    <row r="787">
      <c r="A787" s="38" t="str">
        <f t="shared" si="1"/>
        <v/>
      </c>
      <c r="I787" s="14"/>
      <c r="J787" s="14"/>
      <c r="K787" s="14"/>
    </row>
    <row r="788">
      <c r="A788" s="38" t="str">
        <f t="shared" si="1"/>
        <v/>
      </c>
      <c r="I788" s="14"/>
      <c r="J788" s="14"/>
      <c r="K788" s="14"/>
    </row>
    <row r="789">
      <c r="A789" s="38" t="str">
        <f t="shared" si="1"/>
        <v/>
      </c>
      <c r="I789" s="14"/>
      <c r="J789" s="14"/>
      <c r="K789" s="14"/>
    </row>
    <row r="790">
      <c r="A790" s="38" t="str">
        <f t="shared" si="1"/>
        <v/>
      </c>
      <c r="I790" s="14"/>
      <c r="J790" s="14"/>
      <c r="K790" s="14"/>
    </row>
    <row r="791">
      <c r="A791" s="38" t="str">
        <f t="shared" si="1"/>
        <v/>
      </c>
      <c r="I791" s="14"/>
      <c r="J791" s="14"/>
      <c r="K791" s="14"/>
    </row>
    <row r="792">
      <c r="A792" s="38" t="str">
        <f t="shared" si="1"/>
        <v/>
      </c>
      <c r="I792" s="14"/>
      <c r="J792" s="14"/>
      <c r="K792" s="14"/>
    </row>
    <row r="793">
      <c r="A793" s="38" t="str">
        <f t="shared" si="1"/>
        <v/>
      </c>
      <c r="I793" s="14"/>
      <c r="J793" s="14"/>
      <c r="K793" s="14"/>
    </row>
    <row r="794">
      <c r="A794" s="38" t="str">
        <f t="shared" si="1"/>
        <v/>
      </c>
      <c r="I794" s="14"/>
      <c r="J794" s="14"/>
      <c r="K794" s="14"/>
    </row>
    <row r="795">
      <c r="A795" s="38" t="str">
        <f t="shared" si="1"/>
        <v/>
      </c>
      <c r="I795" s="14"/>
      <c r="J795" s="14"/>
      <c r="K795" s="14"/>
    </row>
    <row r="796">
      <c r="A796" s="38" t="str">
        <f t="shared" si="1"/>
        <v/>
      </c>
      <c r="I796" s="14"/>
      <c r="J796" s="14"/>
      <c r="K796" s="14"/>
    </row>
    <row r="797">
      <c r="A797" s="38" t="str">
        <f t="shared" si="1"/>
        <v/>
      </c>
      <c r="I797" s="14"/>
      <c r="J797" s="14"/>
      <c r="K797" s="14"/>
    </row>
    <row r="798">
      <c r="A798" s="38" t="str">
        <f t="shared" si="1"/>
        <v/>
      </c>
      <c r="I798" s="14"/>
      <c r="J798" s="14"/>
      <c r="K798" s="14"/>
    </row>
    <row r="799">
      <c r="A799" s="38" t="str">
        <f t="shared" si="1"/>
        <v/>
      </c>
      <c r="I799" s="14"/>
      <c r="J799" s="14"/>
      <c r="K799" s="14"/>
    </row>
    <row r="800">
      <c r="A800" s="38" t="str">
        <f t="shared" si="1"/>
        <v/>
      </c>
      <c r="I800" s="14"/>
      <c r="J800" s="14"/>
      <c r="K800" s="14"/>
    </row>
    <row r="801">
      <c r="A801" s="38" t="str">
        <f t="shared" si="1"/>
        <v/>
      </c>
      <c r="I801" s="14"/>
      <c r="J801" s="14"/>
      <c r="K801" s="14"/>
    </row>
    <row r="802">
      <c r="A802" s="38" t="str">
        <f t="shared" si="1"/>
        <v/>
      </c>
      <c r="I802" s="14"/>
      <c r="J802" s="14"/>
      <c r="K802" s="14"/>
    </row>
    <row r="803">
      <c r="A803" s="38" t="str">
        <f t="shared" si="1"/>
        <v/>
      </c>
      <c r="I803" s="14"/>
      <c r="J803" s="14"/>
      <c r="K803" s="14"/>
    </row>
    <row r="804">
      <c r="A804" s="38" t="str">
        <f t="shared" si="1"/>
        <v/>
      </c>
      <c r="I804" s="14"/>
      <c r="J804" s="14"/>
      <c r="K804" s="14"/>
    </row>
    <row r="805">
      <c r="A805" s="38" t="str">
        <f t="shared" si="1"/>
        <v/>
      </c>
      <c r="I805" s="14"/>
      <c r="J805" s="14"/>
      <c r="K805" s="14"/>
    </row>
    <row r="806">
      <c r="A806" s="38" t="str">
        <f t="shared" si="1"/>
        <v/>
      </c>
      <c r="I806" s="14"/>
      <c r="J806" s="14"/>
      <c r="K806" s="14"/>
    </row>
    <row r="807">
      <c r="A807" s="38" t="str">
        <f t="shared" si="1"/>
        <v/>
      </c>
      <c r="I807" s="14"/>
      <c r="J807" s="14"/>
      <c r="K807" s="14"/>
    </row>
    <row r="808">
      <c r="A808" s="38" t="str">
        <f t="shared" si="1"/>
        <v/>
      </c>
      <c r="I808" s="14"/>
      <c r="J808" s="14"/>
      <c r="K808" s="14"/>
    </row>
    <row r="809">
      <c r="A809" s="38" t="str">
        <f t="shared" si="1"/>
        <v/>
      </c>
      <c r="I809" s="14"/>
      <c r="J809" s="14"/>
      <c r="K809" s="14"/>
    </row>
    <row r="810">
      <c r="A810" s="38" t="str">
        <f t="shared" si="1"/>
        <v/>
      </c>
      <c r="I810" s="14"/>
      <c r="J810" s="14"/>
      <c r="K810" s="14"/>
    </row>
    <row r="811">
      <c r="A811" s="38" t="str">
        <f t="shared" si="1"/>
        <v/>
      </c>
      <c r="I811" s="14"/>
      <c r="J811" s="14"/>
      <c r="K811" s="14"/>
    </row>
    <row r="812">
      <c r="A812" s="38" t="str">
        <f t="shared" si="1"/>
        <v/>
      </c>
      <c r="I812" s="14"/>
      <c r="J812" s="14"/>
      <c r="K812" s="14"/>
    </row>
    <row r="813">
      <c r="A813" s="38" t="str">
        <f t="shared" si="1"/>
        <v/>
      </c>
      <c r="I813" s="14"/>
      <c r="J813" s="14"/>
      <c r="K813" s="14"/>
    </row>
    <row r="814">
      <c r="A814" s="38" t="str">
        <f t="shared" si="1"/>
        <v/>
      </c>
      <c r="I814" s="14"/>
      <c r="J814" s="14"/>
      <c r="K814" s="14"/>
    </row>
    <row r="815">
      <c r="A815" s="38" t="str">
        <f t="shared" si="1"/>
        <v/>
      </c>
      <c r="I815" s="14"/>
      <c r="J815" s="14"/>
      <c r="K815" s="14"/>
    </row>
    <row r="816">
      <c r="A816" s="38" t="str">
        <f t="shared" si="1"/>
        <v/>
      </c>
      <c r="I816" s="14"/>
      <c r="J816" s="14"/>
      <c r="K816" s="14"/>
    </row>
    <row r="817">
      <c r="A817" s="38" t="str">
        <f t="shared" si="1"/>
        <v/>
      </c>
      <c r="I817" s="14"/>
      <c r="J817" s="14"/>
      <c r="K817" s="14"/>
    </row>
    <row r="818">
      <c r="A818" s="38" t="str">
        <f t="shared" si="1"/>
        <v/>
      </c>
      <c r="I818" s="14"/>
      <c r="J818" s="14"/>
      <c r="K818" s="14"/>
    </row>
    <row r="819">
      <c r="A819" s="38" t="str">
        <f t="shared" si="1"/>
        <v/>
      </c>
      <c r="I819" s="14"/>
      <c r="J819" s="14"/>
      <c r="K819" s="14"/>
    </row>
    <row r="820">
      <c r="A820" s="38" t="str">
        <f t="shared" si="1"/>
        <v/>
      </c>
      <c r="I820" s="14"/>
      <c r="J820" s="14"/>
      <c r="K820" s="14"/>
    </row>
    <row r="821">
      <c r="A821" s="38" t="str">
        <f t="shared" si="1"/>
        <v/>
      </c>
      <c r="I821" s="14"/>
      <c r="J821" s="14"/>
      <c r="K821" s="14"/>
    </row>
    <row r="822">
      <c r="A822" s="38" t="str">
        <f t="shared" si="1"/>
        <v/>
      </c>
      <c r="I822" s="14"/>
      <c r="J822" s="14"/>
      <c r="K822" s="14"/>
    </row>
    <row r="823">
      <c r="A823" s="38" t="str">
        <f t="shared" si="1"/>
        <v/>
      </c>
      <c r="I823" s="14"/>
      <c r="J823" s="14"/>
      <c r="K823" s="14"/>
    </row>
    <row r="824">
      <c r="A824" s="38" t="str">
        <f t="shared" si="1"/>
        <v/>
      </c>
      <c r="I824" s="14"/>
      <c r="J824" s="14"/>
      <c r="K824" s="14"/>
    </row>
    <row r="825">
      <c r="A825" s="38" t="str">
        <f t="shared" si="1"/>
        <v/>
      </c>
      <c r="I825" s="14"/>
      <c r="J825" s="14"/>
      <c r="K825" s="14"/>
    </row>
    <row r="826">
      <c r="A826" s="38" t="str">
        <f t="shared" si="1"/>
        <v/>
      </c>
      <c r="I826" s="14"/>
      <c r="J826" s="14"/>
      <c r="K826" s="14"/>
    </row>
    <row r="827">
      <c r="A827" s="38" t="str">
        <f t="shared" si="1"/>
        <v/>
      </c>
      <c r="I827" s="14"/>
      <c r="J827" s="14"/>
      <c r="K827" s="14"/>
    </row>
    <row r="828">
      <c r="A828" s="38" t="str">
        <f t="shared" si="1"/>
        <v/>
      </c>
      <c r="I828" s="14"/>
      <c r="J828" s="14"/>
      <c r="K828" s="14"/>
    </row>
    <row r="829">
      <c r="A829" s="38" t="str">
        <f t="shared" si="1"/>
        <v/>
      </c>
      <c r="I829" s="14"/>
      <c r="J829" s="14"/>
      <c r="K829" s="14"/>
    </row>
    <row r="830">
      <c r="A830" s="38" t="str">
        <f t="shared" si="1"/>
        <v/>
      </c>
      <c r="I830" s="14"/>
      <c r="J830" s="14"/>
      <c r="K830" s="14"/>
    </row>
    <row r="831">
      <c r="A831" s="38" t="str">
        <f t="shared" si="1"/>
        <v/>
      </c>
      <c r="I831" s="14"/>
      <c r="J831" s="14"/>
      <c r="K831" s="14"/>
    </row>
    <row r="832">
      <c r="A832" s="38" t="str">
        <f t="shared" si="1"/>
        <v/>
      </c>
      <c r="I832" s="14"/>
      <c r="J832" s="14"/>
      <c r="K832" s="14"/>
    </row>
    <row r="833">
      <c r="A833" s="38" t="str">
        <f t="shared" si="1"/>
        <v/>
      </c>
      <c r="I833" s="14"/>
      <c r="J833" s="14"/>
      <c r="K833" s="14"/>
    </row>
    <row r="834">
      <c r="A834" s="38" t="str">
        <f t="shared" si="1"/>
        <v/>
      </c>
      <c r="I834" s="14"/>
      <c r="J834" s="14"/>
      <c r="K834" s="14"/>
    </row>
    <row r="835">
      <c r="A835" s="38" t="str">
        <f t="shared" si="1"/>
        <v/>
      </c>
      <c r="I835" s="14"/>
      <c r="J835" s="14"/>
      <c r="K835" s="14"/>
    </row>
    <row r="836">
      <c r="A836" s="38" t="str">
        <f t="shared" si="1"/>
        <v/>
      </c>
      <c r="I836" s="14"/>
      <c r="J836" s="14"/>
      <c r="K836" s="14"/>
    </row>
    <row r="837">
      <c r="A837" s="38" t="str">
        <f t="shared" si="1"/>
        <v/>
      </c>
      <c r="I837" s="14"/>
      <c r="J837" s="14"/>
      <c r="K837" s="14"/>
    </row>
    <row r="838">
      <c r="A838" s="38" t="str">
        <f t="shared" si="1"/>
        <v/>
      </c>
      <c r="I838" s="14"/>
      <c r="J838" s="14"/>
      <c r="K838" s="14"/>
    </row>
    <row r="839">
      <c r="A839" s="38" t="str">
        <f t="shared" si="1"/>
        <v/>
      </c>
      <c r="I839" s="14"/>
      <c r="J839" s="14"/>
      <c r="K839" s="14"/>
    </row>
    <row r="840">
      <c r="A840" s="38" t="str">
        <f t="shared" si="1"/>
        <v/>
      </c>
      <c r="I840" s="14"/>
      <c r="J840" s="14"/>
      <c r="K840" s="14"/>
    </row>
    <row r="841">
      <c r="A841" s="38" t="str">
        <f t="shared" si="1"/>
        <v/>
      </c>
      <c r="I841" s="14"/>
      <c r="J841" s="14"/>
      <c r="K841" s="14"/>
    </row>
    <row r="842">
      <c r="A842" s="38" t="str">
        <f t="shared" si="1"/>
        <v/>
      </c>
      <c r="I842" s="14"/>
      <c r="J842" s="14"/>
      <c r="K842" s="14"/>
    </row>
    <row r="843">
      <c r="A843" s="38" t="str">
        <f t="shared" si="1"/>
        <v/>
      </c>
      <c r="I843" s="14"/>
      <c r="J843" s="14"/>
      <c r="K843" s="14"/>
    </row>
    <row r="844">
      <c r="A844" s="38" t="str">
        <f t="shared" si="1"/>
        <v/>
      </c>
      <c r="I844" s="14"/>
      <c r="J844" s="14"/>
      <c r="K844" s="14"/>
    </row>
    <row r="845">
      <c r="A845" s="38" t="str">
        <f t="shared" si="1"/>
        <v/>
      </c>
      <c r="I845" s="14"/>
      <c r="J845" s="14"/>
      <c r="K845" s="14"/>
    </row>
    <row r="846">
      <c r="A846" s="38" t="str">
        <f t="shared" si="1"/>
        <v/>
      </c>
      <c r="I846" s="14"/>
      <c r="J846" s="14"/>
      <c r="K846" s="14"/>
    </row>
    <row r="847">
      <c r="A847" s="38" t="str">
        <f t="shared" si="1"/>
        <v/>
      </c>
      <c r="I847" s="14"/>
      <c r="J847" s="14"/>
      <c r="K847" s="14"/>
    </row>
    <row r="848">
      <c r="A848" s="38" t="str">
        <f t="shared" si="1"/>
        <v/>
      </c>
      <c r="I848" s="14"/>
      <c r="J848" s="14"/>
      <c r="K848" s="14"/>
    </row>
    <row r="849">
      <c r="A849" s="38" t="str">
        <f t="shared" si="1"/>
        <v/>
      </c>
      <c r="I849" s="14"/>
      <c r="J849" s="14"/>
      <c r="K849" s="14"/>
    </row>
    <row r="850">
      <c r="A850" s="38" t="str">
        <f t="shared" si="1"/>
        <v/>
      </c>
      <c r="I850" s="14"/>
      <c r="J850" s="14"/>
      <c r="K850" s="14"/>
    </row>
    <row r="851">
      <c r="A851" s="38" t="str">
        <f t="shared" si="1"/>
        <v/>
      </c>
      <c r="I851" s="14"/>
      <c r="J851" s="14"/>
      <c r="K851" s="14"/>
    </row>
    <row r="852">
      <c r="A852" s="38" t="str">
        <f t="shared" si="1"/>
        <v/>
      </c>
      <c r="I852" s="14"/>
      <c r="J852" s="14"/>
      <c r="K852" s="14"/>
    </row>
    <row r="853">
      <c r="A853" s="38" t="str">
        <f t="shared" si="1"/>
        <v/>
      </c>
      <c r="I853" s="14"/>
      <c r="J853" s="14"/>
      <c r="K853" s="14"/>
    </row>
    <row r="854">
      <c r="A854" s="38" t="str">
        <f t="shared" si="1"/>
        <v/>
      </c>
      <c r="I854" s="14"/>
      <c r="J854" s="14"/>
      <c r="K854" s="14"/>
    </row>
    <row r="855">
      <c r="A855" s="38" t="str">
        <f t="shared" si="1"/>
        <v/>
      </c>
      <c r="I855" s="14"/>
      <c r="J855" s="14"/>
      <c r="K855" s="14"/>
    </row>
    <row r="856">
      <c r="A856" s="38" t="str">
        <f t="shared" si="1"/>
        <v/>
      </c>
      <c r="I856" s="14"/>
      <c r="J856" s="14"/>
      <c r="K856" s="14"/>
    </row>
    <row r="857">
      <c r="A857" s="38" t="str">
        <f t="shared" si="1"/>
        <v/>
      </c>
      <c r="I857" s="14"/>
      <c r="J857" s="14"/>
      <c r="K857" s="14"/>
    </row>
    <row r="858">
      <c r="A858" s="38" t="str">
        <f t="shared" si="1"/>
        <v/>
      </c>
      <c r="I858" s="14"/>
      <c r="J858" s="14"/>
      <c r="K858" s="14"/>
    </row>
    <row r="859">
      <c r="A859" s="38" t="str">
        <f t="shared" si="1"/>
        <v/>
      </c>
      <c r="I859" s="14"/>
      <c r="J859" s="14"/>
      <c r="K859" s="14"/>
    </row>
    <row r="860">
      <c r="A860" s="38" t="str">
        <f t="shared" si="1"/>
        <v/>
      </c>
      <c r="I860" s="14"/>
      <c r="J860" s="14"/>
      <c r="K860" s="14"/>
    </row>
    <row r="861">
      <c r="A861" s="38" t="str">
        <f t="shared" si="1"/>
        <v/>
      </c>
      <c r="I861" s="14"/>
      <c r="J861" s="14"/>
      <c r="K861" s="14"/>
    </row>
    <row r="862">
      <c r="A862" s="38" t="str">
        <f t="shared" si="1"/>
        <v/>
      </c>
      <c r="I862" s="14"/>
      <c r="J862" s="14"/>
      <c r="K862" s="14"/>
    </row>
    <row r="863">
      <c r="A863" s="38" t="str">
        <f t="shared" si="1"/>
        <v/>
      </c>
      <c r="I863" s="14"/>
      <c r="J863" s="14"/>
      <c r="K863" s="14"/>
    </row>
    <row r="864">
      <c r="A864" s="38" t="str">
        <f t="shared" si="1"/>
        <v/>
      </c>
      <c r="I864" s="14"/>
      <c r="J864" s="14"/>
      <c r="K864" s="14"/>
    </row>
    <row r="865">
      <c r="A865" s="38" t="str">
        <f t="shared" si="1"/>
        <v/>
      </c>
      <c r="I865" s="14"/>
      <c r="J865" s="14"/>
      <c r="K865" s="14"/>
    </row>
    <row r="866">
      <c r="A866" s="38" t="str">
        <f t="shared" si="1"/>
        <v/>
      </c>
      <c r="I866" s="14"/>
      <c r="J866" s="14"/>
      <c r="K866" s="14"/>
    </row>
    <row r="867">
      <c r="A867" s="38" t="str">
        <f t="shared" si="1"/>
        <v/>
      </c>
      <c r="I867" s="14"/>
      <c r="J867" s="14"/>
      <c r="K867" s="14"/>
    </row>
    <row r="868">
      <c r="A868" s="38" t="str">
        <f t="shared" si="1"/>
        <v/>
      </c>
      <c r="I868" s="14"/>
      <c r="J868" s="14"/>
      <c r="K868" s="14"/>
    </row>
    <row r="869">
      <c r="A869" s="38" t="str">
        <f t="shared" si="1"/>
        <v/>
      </c>
      <c r="I869" s="14"/>
      <c r="J869" s="14"/>
      <c r="K869" s="14"/>
    </row>
    <row r="870">
      <c r="A870" s="38" t="str">
        <f t="shared" si="1"/>
        <v/>
      </c>
      <c r="I870" s="14"/>
      <c r="J870" s="14"/>
      <c r="K870" s="14"/>
    </row>
    <row r="871">
      <c r="A871" s="38" t="str">
        <f t="shared" si="1"/>
        <v/>
      </c>
      <c r="I871" s="14"/>
      <c r="J871" s="14"/>
      <c r="K871" s="14"/>
    </row>
    <row r="872">
      <c r="A872" s="38" t="str">
        <f t="shared" si="1"/>
        <v/>
      </c>
      <c r="I872" s="14"/>
      <c r="J872" s="14"/>
      <c r="K872" s="14"/>
    </row>
    <row r="873">
      <c r="A873" s="38" t="str">
        <f t="shared" si="1"/>
        <v/>
      </c>
      <c r="I873" s="14"/>
      <c r="J873" s="14"/>
      <c r="K873" s="14"/>
    </row>
    <row r="874">
      <c r="A874" s="38" t="str">
        <f t="shared" si="1"/>
        <v/>
      </c>
      <c r="I874" s="14"/>
      <c r="J874" s="14"/>
      <c r="K874" s="14"/>
    </row>
    <row r="875">
      <c r="A875" s="38" t="str">
        <f t="shared" si="1"/>
        <v/>
      </c>
      <c r="I875" s="14"/>
      <c r="J875" s="14"/>
      <c r="K875" s="14"/>
    </row>
    <row r="876">
      <c r="A876" s="38" t="str">
        <f t="shared" si="1"/>
        <v/>
      </c>
      <c r="I876" s="14"/>
      <c r="J876" s="14"/>
      <c r="K876" s="14"/>
    </row>
    <row r="877">
      <c r="A877" s="38" t="str">
        <f t="shared" si="1"/>
        <v/>
      </c>
      <c r="I877" s="14"/>
      <c r="J877" s="14"/>
      <c r="K877" s="14"/>
    </row>
    <row r="878">
      <c r="A878" s="38" t="str">
        <f t="shared" si="1"/>
        <v/>
      </c>
      <c r="I878" s="14"/>
      <c r="J878" s="14"/>
      <c r="K878" s="14"/>
    </row>
    <row r="879">
      <c r="A879" s="38" t="str">
        <f t="shared" si="1"/>
        <v/>
      </c>
      <c r="I879" s="14"/>
      <c r="J879" s="14"/>
      <c r="K879" s="14"/>
    </row>
    <row r="880">
      <c r="A880" s="38" t="str">
        <f t="shared" si="1"/>
        <v/>
      </c>
      <c r="I880" s="14"/>
      <c r="J880" s="14"/>
      <c r="K880" s="14"/>
    </row>
    <row r="881">
      <c r="A881" s="38" t="str">
        <f t="shared" si="1"/>
        <v/>
      </c>
      <c r="I881" s="14"/>
      <c r="J881" s="14"/>
      <c r="K881" s="14"/>
    </row>
    <row r="882">
      <c r="A882" s="38" t="str">
        <f t="shared" si="1"/>
        <v/>
      </c>
      <c r="I882" s="14"/>
      <c r="J882" s="14"/>
      <c r="K882" s="14"/>
    </row>
    <row r="883">
      <c r="A883" s="38" t="str">
        <f t="shared" si="1"/>
        <v/>
      </c>
      <c r="I883" s="14"/>
      <c r="J883" s="14"/>
      <c r="K883" s="14"/>
    </row>
    <row r="884">
      <c r="A884" s="38" t="str">
        <f t="shared" si="1"/>
        <v/>
      </c>
      <c r="I884" s="14"/>
      <c r="J884" s="14"/>
      <c r="K884" s="14"/>
    </row>
    <row r="885">
      <c r="A885" s="38" t="str">
        <f t="shared" si="1"/>
        <v/>
      </c>
      <c r="I885" s="14"/>
      <c r="J885" s="14"/>
      <c r="K885" s="14"/>
    </row>
    <row r="886">
      <c r="A886" s="38" t="str">
        <f t="shared" si="1"/>
        <v/>
      </c>
      <c r="I886" s="14"/>
      <c r="J886" s="14"/>
      <c r="K886" s="14"/>
    </row>
    <row r="887">
      <c r="A887" s="38" t="str">
        <f t="shared" si="1"/>
        <v/>
      </c>
      <c r="I887" s="14"/>
      <c r="J887" s="14"/>
      <c r="K887" s="14"/>
    </row>
    <row r="888">
      <c r="A888" s="38" t="str">
        <f t="shared" si="1"/>
        <v/>
      </c>
      <c r="I888" s="14"/>
      <c r="J888" s="14"/>
      <c r="K888" s="14"/>
    </row>
    <row r="889">
      <c r="A889" s="38" t="str">
        <f t="shared" si="1"/>
        <v/>
      </c>
      <c r="I889" s="14"/>
      <c r="J889" s="14"/>
      <c r="K889" s="14"/>
    </row>
    <row r="890">
      <c r="A890" s="38" t="str">
        <f t="shared" si="1"/>
        <v/>
      </c>
      <c r="I890" s="14"/>
      <c r="J890" s="14"/>
      <c r="K890" s="14"/>
    </row>
    <row r="891">
      <c r="A891" s="38" t="str">
        <f t="shared" si="1"/>
        <v/>
      </c>
      <c r="I891" s="14"/>
      <c r="J891" s="14"/>
      <c r="K891" s="14"/>
    </row>
    <row r="892">
      <c r="A892" s="38" t="str">
        <f t="shared" si="1"/>
        <v/>
      </c>
      <c r="I892" s="14"/>
      <c r="J892" s="14"/>
      <c r="K892" s="14"/>
    </row>
    <row r="893">
      <c r="A893" s="38" t="str">
        <f t="shared" si="1"/>
        <v/>
      </c>
      <c r="I893" s="14"/>
      <c r="J893" s="14"/>
      <c r="K893" s="14"/>
    </row>
    <row r="894">
      <c r="A894" s="38" t="str">
        <f t="shared" si="1"/>
        <v/>
      </c>
      <c r="I894" s="14"/>
      <c r="J894" s="14"/>
      <c r="K894" s="14"/>
    </row>
    <row r="895">
      <c r="A895" s="38" t="str">
        <f t="shared" si="1"/>
        <v/>
      </c>
      <c r="I895" s="14"/>
      <c r="J895" s="14"/>
      <c r="K895" s="14"/>
    </row>
    <row r="896">
      <c r="A896" s="38" t="str">
        <f t="shared" si="1"/>
        <v/>
      </c>
      <c r="I896" s="14"/>
      <c r="J896" s="14"/>
      <c r="K896" s="14"/>
    </row>
    <row r="897">
      <c r="A897" s="38" t="str">
        <f t="shared" si="1"/>
        <v/>
      </c>
      <c r="I897" s="14"/>
      <c r="J897" s="14"/>
      <c r="K897" s="14"/>
    </row>
    <row r="898">
      <c r="A898" s="38" t="str">
        <f t="shared" si="1"/>
        <v/>
      </c>
      <c r="I898" s="14"/>
      <c r="J898" s="14"/>
      <c r="K898" s="14"/>
    </row>
    <row r="899">
      <c r="A899" s="38" t="str">
        <f t="shared" si="1"/>
        <v/>
      </c>
      <c r="I899" s="14"/>
      <c r="J899" s="14"/>
      <c r="K899" s="14"/>
    </row>
    <row r="900">
      <c r="A900" s="38" t="str">
        <f t="shared" si="1"/>
        <v/>
      </c>
      <c r="I900" s="14"/>
      <c r="J900" s="14"/>
      <c r="K900" s="14"/>
    </row>
    <row r="901">
      <c r="A901" s="38" t="str">
        <f t="shared" si="1"/>
        <v/>
      </c>
      <c r="I901" s="14"/>
      <c r="J901" s="14"/>
      <c r="K901" s="14"/>
    </row>
    <row r="902">
      <c r="A902" s="38" t="str">
        <f t="shared" si="1"/>
        <v/>
      </c>
      <c r="I902" s="14"/>
      <c r="J902" s="14"/>
      <c r="K902" s="14"/>
    </row>
    <row r="903">
      <c r="A903" s="38" t="str">
        <f t="shared" si="1"/>
        <v/>
      </c>
      <c r="I903" s="14"/>
      <c r="J903" s="14"/>
      <c r="K903" s="14"/>
    </row>
    <row r="904">
      <c r="A904" s="38" t="str">
        <f t="shared" si="1"/>
        <v/>
      </c>
      <c r="I904" s="14"/>
      <c r="J904" s="14"/>
      <c r="K904" s="14"/>
    </row>
    <row r="905">
      <c r="A905" s="38" t="str">
        <f t="shared" si="1"/>
        <v/>
      </c>
      <c r="I905" s="14"/>
      <c r="J905" s="14"/>
      <c r="K905" s="14"/>
    </row>
    <row r="906">
      <c r="A906" s="38" t="str">
        <f t="shared" si="1"/>
        <v/>
      </c>
      <c r="I906" s="14"/>
      <c r="J906" s="14"/>
      <c r="K906" s="14"/>
    </row>
    <row r="907">
      <c r="A907" s="38" t="str">
        <f t="shared" si="1"/>
        <v/>
      </c>
      <c r="I907" s="14"/>
      <c r="J907" s="14"/>
      <c r="K907" s="14"/>
    </row>
    <row r="908">
      <c r="A908" s="38" t="str">
        <f t="shared" si="1"/>
        <v/>
      </c>
      <c r="I908" s="14"/>
      <c r="J908" s="14"/>
      <c r="K908" s="14"/>
    </row>
    <row r="909">
      <c r="A909" s="38" t="str">
        <f t="shared" si="1"/>
        <v/>
      </c>
      <c r="I909" s="14"/>
      <c r="J909" s="14"/>
      <c r="K909" s="14"/>
    </row>
    <row r="910">
      <c r="A910" s="38" t="str">
        <f t="shared" si="1"/>
        <v/>
      </c>
      <c r="I910" s="14"/>
      <c r="J910" s="14"/>
      <c r="K910" s="14"/>
    </row>
    <row r="911">
      <c r="A911" s="38" t="str">
        <f t="shared" si="1"/>
        <v/>
      </c>
      <c r="I911" s="14"/>
      <c r="J911" s="14"/>
      <c r="K911" s="14"/>
    </row>
    <row r="912">
      <c r="A912" s="38" t="str">
        <f t="shared" si="1"/>
        <v/>
      </c>
      <c r="I912" s="14"/>
      <c r="J912" s="14"/>
      <c r="K912" s="14"/>
    </row>
    <row r="913">
      <c r="A913" s="38" t="str">
        <f t="shared" si="1"/>
        <v/>
      </c>
      <c r="I913" s="14"/>
      <c r="J913" s="14"/>
      <c r="K913" s="14"/>
    </row>
    <row r="914">
      <c r="A914" s="38" t="str">
        <f t="shared" si="1"/>
        <v/>
      </c>
      <c r="I914" s="14"/>
      <c r="J914" s="14"/>
      <c r="K914" s="14"/>
    </row>
    <row r="915">
      <c r="A915" s="38" t="str">
        <f t="shared" si="1"/>
        <v/>
      </c>
      <c r="I915" s="14"/>
      <c r="J915" s="14"/>
      <c r="K915" s="14"/>
    </row>
    <row r="916">
      <c r="A916" s="38" t="str">
        <f t="shared" si="1"/>
        <v/>
      </c>
      <c r="I916" s="14"/>
      <c r="J916" s="14"/>
      <c r="K916" s="14"/>
    </row>
    <row r="917">
      <c r="A917" s="38" t="str">
        <f t="shared" si="1"/>
        <v/>
      </c>
      <c r="I917" s="14"/>
      <c r="J917" s="14"/>
      <c r="K917" s="14"/>
    </row>
    <row r="918">
      <c r="A918" s="38" t="str">
        <f t="shared" si="1"/>
        <v/>
      </c>
      <c r="I918" s="14"/>
      <c r="J918" s="14"/>
      <c r="K918" s="14"/>
    </row>
    <row r="919">
      <c r="A919" s="38" t="str">
        <f t="shared" si="1"/>
        <v/>
      </c>
      <c r="I919" s="14"/>
      <c r="J919" s="14"/>
      <c r="K919" s="14"/>
    </row>
    <row r="920">
      <c r="A920" s="38" t="str">
        <f t="shared" si="1"/>
        <v/>
      </c>
      <c r="I920" s="14"/>
      <c r="J920" s="14"/>
      <c r="K920" s="14"/>
    </row>
    <row r="921">
      <c r="A921" s="38" t="str">
        <f t="shared" si="1"/>
        <v/>
      </c>
      <c r="I921" s="14"/>
      <c r="J921" s="14"/>
      <c r="K921" s="14"/>
    </row>
    <row r="922">
      <c r="A922" s="38" t="str">
        <f t="shared" si="1"/>
        <v/>
      </c>
      <c r="I922" s="14"/>
      <c r="J922" s="14"/>
      <c r="K922" s="14"/>
    </row>
    <row r="923">
      <c r="A923" s="38" t="str">
        <f t="shared" si="1"/>
        <v/>
      </c>
      <c r="I923" s="14"/>
      <c r="J923" s="14"/>
      <c r="K923" s="14"/>
    </row>
    <row r="924">
      <c r="A924" s="38" t="str">
        <f t="shared" si="1"/>
        <v/>
      </c>
      <c r="I924" s="14"/>
      <c r="J924" s="14"/>
      <c r="K924" s="14"/>
    </row>
    <row r="925">
      <c r="A925" s="38" t="str">
        <f t="shared" si="1"/>
        <v/>
      </c>
      <c r="I925" s="14"/>
      <c r="J925" s="14"/>
      <c r="K925" s="14"/>
    </row>
    <row r="926">
      <c r="A926" s="38" t="str">
        <f t="shared" si="1"/>
        <v/>
      </c>
      <c r="I926" s="14"/>
      <c r="J926" s="14"/>
      <c r="K926" s="14"/>
    </row>
    <row r="927">
      <c r="A927" s="38" t="str">
        <f t="shared" si="1"/>
        <v/>
      </c>
      <c r="I927" s="14"/>
      <c r="J927" s="14"/>
      <c r="K927" s="14"/>
    </row>
    <row r="928">
      <c r="A928" s="38" t="str">
        <f t="shared" si="1"/>
        <v/>
      </c>
      <c r="I928" s="14"/>
      <c r="J928" s="14"/>
      <c r="K928" s="14"/>
    </row>
    <row r="929">
      <c r="A929" s="38" t="str">
        <f t="shared" si="1"/>
        <v/>
      </c>
      <c r="I929" s="14"/>
      <c r="J929" s="14"/>
      <c r="K929" s="14"/>
    </row>
    <row r="930">
      <c r="A930" s="38" t="str">
        <f t="shared" si="1"/>
        <v/>
      </c>
      <c r="I930" s="14"/>
      <c r="J930" s="14"/>
      <c r="K930" s="14"/>
    </row>
    <row r="931">
      <c r="A931" s="38" t="str">
        <f t="shared" si="1"/>
        <v/>
      </c>
      <c r="I931" s="14"/>
      <c r="J931" s="14"/>
      <c r="K931" s="14"/>
    </row>
    <row r="932">
      <c r="A932" s="38" t="str">
        <f t="shared" si="1"/>
        <v/>
      </c>
      <c r="I932" s="14"/>
      <c r="J932" s="14"/>
      <c r="K932" s="14"/>
    </row>
    <row r="933">
      <c r="A933" s="38" t="str">
        <f t="shared" si="1"/>
        <v/>
      </c>
      <c r="I933" s="14"/>
      <c r="J933" s="14"/>
      <c r="K933" s="14"/>
    </row>
    <row r="934">
      <c r="A934" s="38" t="str">
        <f t="shared" si="1"/>
        <v/>
      </c>
      <c r="I934" s="14"/>
      <c r="J934" s="14"/>
      <c r="K934" s="14"/>
    </row>
    <row r="935">
      <c r="A935" s="38" t="str">
        <f t="shared" si="1"/>
        <v/>
      </c>
      <c r="I935" s="14"/>
      <c r="J935" s="14"/>
      <c r="K935" s="14"/>
    </row>
    <row r="936">
      <c r="A936" s="38" t="str">
        <f t="shared" si="1"/>
        <v/>
      </c>
      <c r="I936" s="14"/>
      <c r="J936" s="14"/>
      <c r="K936" s="14"/>
    </row>
    <row r="937">
      <c r="A937" s="38" t="str">
        <f t="shared" si="1"/>
        <v/>
      </c>
      <c r="I937" s="14"/>
      <c r="J937" s="14"/>
      <c r="K937" s="14"/>
    </row>
    <row r="938">
      <c r="A938" s="38" t="str">
        <f t="shared" si="1"/>
        <v/>
      </c>
      <c r="I938" s="14"/>
      <c r="J938" s="14"/>
      <c r="K938" s="14"/>
    </row>
    <row r="939">
      <c r="A939" s="38" t="str">
        <f t="shared" si="1"/>
        <v/>
      </c>
      <c r="I939" s="14"/>
      <c r="J939" s="14"/>
      <c r="K939" s="14"/>
    </row>
    <row r="940">
      <c r="A940" s="38" t="str">
        <f t="shared" si="1"/>
        <v/>
      </c>
      <c r="I940" s="14"/>
      <c r="J940" s="14"/>
      <c r="K940" s="14"/>
    </row>
    <row r="941">
      <c r="A941" s="38" t="str">
        <f t="shared" si="1"/>
        <v/>
      </c>
      <c r="I941" s="14"/>
      <c r="J941" s="14"/>
      <c r="K941" s="14"/>
    </row>
    <row r="942">
      <c r="A942" s="38" t="str">
        <f t="shared" si="1"/>
        <v/>
      </c>
      <c r="I942" s="14"/>
      <c r="J942" s="14"/>
      <c r="K942" s="14"/>
    </row>
    <row r="943">
      <c r="A943" s="38" t="str">
        <f t="shared" si="1"/>
        <v/>
      </c>
      <c r="I943" s="14"/>
      <c r="J943" s="14"/>
      <c r="K943" s="14"/>
    </row>
    <row r="944">
      <c r="A944" s="38" t="str">
        <f t="shared" si="1"/>
        <v/>
      </c>
      <c r="I944" s="14"/>
      <c r="J944" s="14"/>
      <c r="K944" s="14"/>
    </row>
    <row r="945">
      <c r="A945" s="38" t="str">
        <f t="shared" si="1"/>
        <v/>
      </c>
      <c r="I945" s="14"/>
      <c r="J945" s="14"/>
      <c r="K945" s="14"/>
    </row>
    <row r="946">
      <c r="A946" s="38" t="str">
        <f t="shared" si="1"/>
        <v/>
      </c>
      <c r="I946" s="14"/>
      <c r="J946" s="14"/>
      <c r="K946" s="14"/>
    </row>
    <row r="947">
      <c r="A947" s="38" t="str">
        <f t="shared" si="1"/>
        <v/>
      </c>
      <c r="I947" s="14"/>
      <c r="J947" s="14"/>
      <c r="K947" s="14"/>
    </row>
    <row r="948">
      <c r="A948" s="38" t="str">
        <f t="shared" si="1"/>
        <v/>
      </c>
      <c r="I948" s="14"/>
      <c r="J948" s="14"/>
      <c r="K948" s="14"/>
    </row>
    <row r="949">
      <c r="A949" s="38" t="str">
        <f t="shared" si="1"/>
        <v/>
      </c>
      <c r="I949" s="14"/>
      <c r="J949" s="14"/>
      <c r="K949" s="14"/>
    </row>
    <row r="950">
      <c r="A950" s="38" t="str">
        <f t="shared" si="1"/>
        <v/>
      </c>
      <c r="I950" s="14"/>
      <c r="J950" s="14"/>
      <c r="K950" s="14"/>
    </row>
    <row r="951">
      <c r="A951" s="38" t="str">
        <f t="shared" si="1"/>
        <v/>
      </c>
      <c r="I951" s="14"/>
      <c r="J951" s="14"/>
      <c r="K951" s="14"/>
    </row>
    <row r="952">
      <c r="A952" s="38" t="str">
        <f t="shared" si="1"/>
        <v/>
      </c>
      <c r="I952" s="14"/>
      <c r="J952" s="14"/>
      <c r="K952" s="14"/>
    </row>
    <row r="953">
      <c r="A953" s="38" t="str">
        <f t="shared" si="1"/>
        <v/>
      </c>
      <c r="I953" s="14"/>
      <c r="J953" s="14"/>
      <c r="K953" s="14"/>
    </row>
    <row r="954">
      <c r="A954" s="38" t="str">
        <f t="shared" si="1"/>
        <v/>
      </c>
      <c r="I954" s="14"/>
      <c r="J954" s="14"/>
      <c r="K954" s="14"/>
    </row>
    <row r="955">
      <c r="A955" s="38" t="str">
        <f t="shared" si="1"/>
        <v/>
      </c>
      <c r="I955" s="14"/>
      <c r="J955" s="14"/>
      <c r="K955" s="14"/>
    </row>
    <row r="956">
      <c r="A956" s="38" t="str">
        <f t="shared" si="1"/>
        <v/>
      </c>
      <c r="I956" s="14"/>
      <c r="J956" s="14"/>
      <c r="K956" s="14"/>
    </row>
    <row r="957">
      <c r="A957" s="38" t="str">
        <f t="shared" si="1"/>
        <v/>
      </c>
      <c r="I957" s="14"/>
      <c r="J957" s="14"/>
      <c r="K957" s="14"/>
    </row>
    <row r="958">
      <c r="A958" s="38" t="str">
        <f t="shared" si="1"/>
        <v/>
      </c>
      <c r="I958" s="14"/>
      <c r="J958" s="14"/>
      <c r="K958" s="14"/>
    </row>
    <row r="959">
      <c r="A959" s="38" t="str">
        <f t="shared" si="1"/>
        <v/>
      </c>
      <c r="I959" s="14"/>
      <c r="J959" s="14"/>
      <c r="K959" s="14"/>
    </row>
    <row r="960">
      <c r="A960" s="38" t="str">
        <f t="shared" si="1"/>
        <v/>
      </c>
      <c r="I960" s="14"/>
      <c r="J960" s="14"/>
      <c r="K960" s="14"/>
    </row>
    <row r="961">
      <c r="A961" s="38" t="str">
        <f t="shared" si="1"/>
        <v/>
      </c>
      <c r="I961" s="14"/>
      <c r="J961" s="14"/>
      <c r="K961" s="14"/>
    </row>
    <row r="962">
      <c r="A962" s="38" t="str">
        <f t="shared" si="1"/>
        <v/>
      </c>
      <c r="I962" s="14"/>
      <c r="J962" s="14"/>
      <c r="K962" s="14"/>
    </row>
    <row r="963">
      <c r="A963" s="38" t="str">
        <f t="shared" si="1"/>
        <v/>
      </c>
      <c r="I963" s="14"/>
      <c r="J963" s="14"/>
      <c r="K963" s="14"/>
    </row>
    <row r="964">
      <c r="A964" s="38" t="str">
        <f t="shared" si="1"/>
        <v/>
      </c>
      <c r="I964" s="14"/>
      <c r="J964" s="14"/>
      <c r="K964" s="14"/>
    </row>
    <row r="965">
      <c r="A965" s="38" t="str">
        <f t="shared" si="1"/>
        <v/>
      </c>
      <c r="I965" s="14"/>
      <c r="J965" s="14"/>
      <c r="K965" s="14"/>
    </row>
    <row r="966">
      <c r="A966" s="38" t="str">
        <f t="shared" si="1"/>
        <v/>
      </c>
      <c r="I966" s="14"/>
      <c r="J966" s="14"/>
      <c r="K966" s="14"/>
    </row>
    <row r="967">
      <c r="A967" s="38" t="str">
        <f t="shared" si="1"/>
        <v/>
      </c>
      <c r="I967" s="14"/>
      <c r="J967" s="14"/>
      <c r="K967" s="14"/>
    </row>
    <row r="968">
      <c r="A968" s="38" t="str">
        <f t="shared" si="1"/>
        <v/>
      </c>
      <c r="I968" s="14"/>
      <c r="J968" s="14"/>
      <c r="K968" s="14"/>
    </row>
    <row r="969">
      <c r="A969" s="38" t="str">
        <f t="shared" si="1"/>
        <v/>
      </c>
      <c r="I969" s="14"/>
      <c r="J969" s="14"/>
      <c r="K969" s="14"/>
    </row>
    <row r="970">
      <c r="A970" s="38" t="str">
        <f t="shared" si="1"/>
        <v/>
      </c>
      <c r="I970" s="14"/>
      <c r="J970" s="14"/>
      <c r="K970" s="14"/>
    </row>
    <row r="971">
      <c r="A971" s="38" t="str">
        <f t="shared" si="1"/>
        <v/>
      </c>
      <c r="I971" s="14"/>
      <c r="J971" s="14"/>
      <c r="K971" s="14"/>
    </row>
    <row r="972">
      <c r="A972" s="38" t="str">
        <f t="shared" si="1"/>
        <v/>
      </c>
      <c r="I972" s="14"/>
      <c r="J972" s="14"/>
      <c r="K972" s="14"/>
    </row>
    <row r="973">
      <c r="A973" s="38" t="str">
        <f t="shared" si="1"/>
        <v/>
      </c>
      <c r="I973" s="14"/>
      <c r="J973" s="14"/>
      <c r="K973" s="14"/>
    </row>
    <row r="974">
      <c r="A974" s="38" t="str">
        <f t="shared" si="1"/>
        <v/>
      </c>
      <c r="I974" s="14"/>
      <c r="J974" s="14"/>
      <c r="K974" s="14"/>
    </row>
    <row r="975">
      <c r="A975" s="38" t="str">
        <f t="shared" si="1"/>
        <v/>
      </c>
      <c r="I975" s="14"/>
      <c r="J975" s="14"/>
      <c r="K975" s="14"/>
    </row>
    <row r="976">
      <c r="A976" s="38" t="str">
        <f t="shared" si="1"/>
        <v/>
      </c>
      <c r="I976" s="14"/>
      <c r="J976" s="14"/>
      <c r="K976" s="14"/>
    </row>
    <row r="977">
      <c r="A977" s="38" t="str">
        <f t="shared" si="1"/>
        <v/>
      </c>
      <c r="I977" s="14"/>
      <c r="J977" s="14"/>
      <c r="K977" s="14"/>
    </row>
    <row r="978">
      <c r="A978" s="38" t="str">
        <f t="shared" si="1"/>
        <v/>
      </c>
      <c r="I978" s="14"/>
      <c r="J978" s="14"/>
      <c r="K978" s="14"/>
    </row>
    <row r="979">
      <c r="A979" s="38" t="str">
        <f t="shared" si="1"/>
        <v/>
      </c>
      <c r="I979" s="14"/>
      <c r="J979" s="14"/>
      <c r="K979" s="14"/>
    </row>
    <row r="980">
      <c r="A980" s="38" t="str">
        <f t="shared" si="1"/>
        <v/>
      </c>
      <c r="I980" s="14"/>
      <c r="J980" s="14"/>
      <c r="K980" s="14"/>
    </row>
    <row r="981">
      <c r="A981" s="38" t="str">
        <f t="shared" si="1"/>
        <v/>
      </c>
      <c r="I981" s="14"/>
      <c r="J981" s="14"/>
      <c r="K981" s="14"/>
    </row>
    <row r="982">
      <c r="A982" s="38" t="str">
        <f t="shared" si="1"/>
        <v/>
      </c>
      <c r="I982" s="14"/>
      <c r="J982" s="14"/>
      <c r="K982" s="14"/>
    </row>
    <row r="983">
      <c r="A983" s="38" t="str">
        <f t="shared" si="1"/>
        <v/>
      </c>
      <c r="I983" s="14"/>
      <c r="J983" s="14"/>
      <c r="K983" s="14"/>
    </row>
    <row r="984">
      <c r="A984" s="38" t="str">
        <f t="shared" si="1"/>
        <v/>
      </c>
      <c r="I984" s="14"/>
      <c r="J984" s="14"/>
      <c r="K984" s="14"/>
    </row>
    <row r="985">
      <c r="A985" s="38" t="str">
        <f t="shared" si="1"/>
        <v/>
      </c>
      <c r="I985" s="14"/>
      <c r="J985" s="14"/>
      <c r="K985" s="14"/>
    </row>
    <row r="986">
      <c r="A986" s="38" t="str">
        <f t="shared" si="1"/>
        <v/>
      </c>
      <c r="I986" s="14"/>
      <c r="J986" s="14"/>
      <c r="K986" s="14"/>
    </row>
    <row r="987">
      <c r="A987" s="38" t="str">
        <f t="shared" si="1"/>
        <v/>
      </c>
      <c r="I987" s="14"/>
      <c r="J987" s="14"/>
      <c r="K987" s="14"/>
    </row>
    <row r="988">
      <c r="A988" s="38" t="str">
        <f t="shared" si="1"/>
        <v/>
      </c>
      <c r="I988" s="14"/>
      <c r="J988" s="14"/>
      <c r="K988" s="14"/>
    </row>
    <row r="989">
      <c r="A989" s="38" t="str">
        <f t="shared" si="1"/>
        <v/>
      </c>
      <c r="I989" s="14"/>
      <c r="J989" s="14"/>
      <c r="K989" s="14"/>
    </row>
    <row r="990">
      <c r="A990" s="38" t="str">
        <f t="shared" si="1"/>
        <v/>
      </c>
      <c r="I990" s="14"/>
      <c r="J990" s="14"/>
      <c r="K990" s="14"/>
    </row>
    <row r="991">
      <c r="A991" s="38" t="str">
        <f t="shared" si="1"/>
        <v/>
      </c>
      <c r="I991" s="14"/>
      <c r="J991" s="14"/>
      <c r="K991" s="14"/>
    </row>
    <row r="992">
      <c r="A992" s="38" t="str">
        <f t="shared" si="1"/>
        <v/>
      </c>
      <c r="I992" s="14"/>
      <c r="J992" s="14"/>
      <c r="K992" s="14"/>
    </row>
    <row r="993">
      <c r="A993" s="38" t="str">
        <f t="shared" si="1"/>
        <v/>
      </c>
      <c r="I993" s="14"/>
      <c r="J993" s="14"/>
      <c r="K993" s="14"/>
    </row>
    <row r="994">
      <c r="A994" s="38" t="str">
        <f t="shared" si="1"/>
        <v/>
      </c>
      <c r="I994" s="14"/>
      <c r="J994" s="14"/>
      <c r="K994" s="14"/>
    </row>
    <row r="995">
      <c r="A995" s="38" t="str">
        <f t="shared" si="1"/>
        <v/>
      </c>
      <c r="I995" s="14"/>
      <c r="J995" s="14"/>
      <c r="K995" s="14"/>
    </row>
    <row r="996">
      <c r="A996" s="38" t="str">
        <f t="shared" si="1"/>
        <v/>
      </c>
      <c r="I996" s="14"/>
      <c r="J996" s="14"/>
      <c r="K996" s="14"/>
    </row>
    <row r="997">
      <c r="A997" s="38" t="str">
        <f t="shared" si="1"/>
        <v/>
      </c>
      <c r="I997" s="14"/>
      <c r="J997" s="14"/>
      <c r="K997" s="14"/>
    </row>
    <row r="998">
      <c r="A998" s="38" t="str">
        <f t="shared" si="1"/>
        <v/>
      </c>
      <c r="I998" s="14"/>
      <c r="J998" s="14"/>
      <c r="K998" s="14"/>
    </row>
    <row r="999">
      <c r="A999" s="38" t="str">
        <f t="shared" si="1"/>
        <v/>
      </c>
      <c r="I999" s="14"/>
      <c r="J999" s="14"/>
      <c r="K999" s="14"/>
    </row>
    <row r="1000">
      <c r="A1000" s="38" t="str">
        <f t="shared" si="1"/>
        <v/>
      </c>
      <c r="I1000" s="14"/>
      <c r="J1000" s="14"/>
      <c r="K1000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1</v>
      </c>
      <c r="B1" s="49" t="s">
        <v>1131</v>
      </c>
      <c r="C1" s="49" t="s">
        <v>1132</v>
      </c>
      <c r="D1" s="49" t="s">
        <v>1133</v>
      </c>
      <c r="E1" s="49" t="s">
        <v>1927</v>
      </c>
      <c r="F1" s="49" t="s">
        <v>1928</v>
      </c>
      <c r="G1" s="49" t="s">
        <v>1136</v>
      </c>
      <c r="H1" s="49" t="s">
        <v>1929</v>
      </c>
      <c r="I1" s="49" t="s">
        <v>1930</v>
      </c>
      <c r="J1" s="49" t="s">
        <v>1931</v>
      </c>
      <c r="K1" s="49" t="s">
        <v>1932</v>
      </c>
      <c r="L1" s="49" t="s">
        <v>1933</v>
      </c>
      <c r="M1" s="49" t="s">
        <v>1934</v>
      </c>
      <c r="N1" s="49" t="s">
        <v>1935</v>
      </c>
      <c r="O1" s="49" t="s">
        <v>1936</v>
      </c>
      <c r="P1" s="49" t="s">
        <v>1937</v>
      </c>
      <c r="Q1" s="49" t="s">
        <v>1938</v>
      </c>
      <c r="R1" s="49" t="s">
        <v>1939</v>
      </c>
      <c r="S1" s="49" t="s">
        <v>1940</v>
      </c>
      <c r="T1" s="49" t="s">
        <v>1941</v>
      </c>
      <c r="U1" s="49" t="s">
        <v>1942</v>
      </c>
      <c r="V1" s="49" t="s">
        <v>1943</v>
      </c>
      <c r="W1" s="49" t="s">
        <v>1944</v>
      </c>
      <c r="X1" s="49" t="s">
        <v>1945</v>
      </c>
      <c r="Y1" s="49" t="s">
        <v>1946</v>
      </c>
      <c r="Z1" s="49" t="s">
        <v>1947</v>
      </c>
      <c r="AA1" s="49" t="s">
        <v>1948</v>
      </c>
      <c r="AB1" s="49"/>
      <c r="AC1" s="49"/>
    </row>
    <row r="2">
      <c r="A2" s="50">
        <v>45962.0</v>
      </c>
      <c r="B2" s="51">
        <v>18564.0</v>
      </c>
      <c r="C2" s="51">
        <v>64.0</v>
      </c>
      <c r="D2" s="51">
        <v>0.344753286</v>
      </c>
      <c r="E2" s="51">
        <v>10.7393342</v>
      </c>
      <c r="F2" s="51">
        <v>400.125</v>
      </c>
      <c r="G2" s="51">
        <v>25608.0</v>
      </c>
      <c r="H2" s="51">
        <v>3.0</v>
      </c>
      <c r="I2" s="51">
        <v>8536.0</v>
      </c>
      <c r="J2" s="51">
        <v>95000.0</v>
      </c>
      <c r="K2" s="51">
        <v>4.6875</v>
      </c>
      <c r="L2" s="51">
        <v>370.9778194</v>
      </c>
      <c r="M2" s="51">
        <v>3.0</v>
      </c>
      <c r="N2" s="51">
        <v>4.6875</v>
      </c>
      <c r="O2" s="51">
        <v>95000.0</v>
      </c>
      <c r="P2" s="51">
        <v>8536.0</v>
      </c>
      <c r="Q2" s="51">
        <v>370.9778194</v>
      </c>
      <c r="R2" s="51" t="s">
        <v>1949</v>
      </c>
      <c r="S2" s="51" t="s">
        <v>1949</v>
      </c>
      <c r="T2" s="51" t="s">
        <v>1949</v>
      </c>
      <c r="U2" s="51" t="s">
        <v>1949</v>
      </c>
      <c r="V2" s="51" t="s">
        <v>1949</v>
      </c>
      <c r="W2" s="51">
        <v>5.0</v>
      </c>
      <c r="X2" s="51">
        <v>7.8125</v>
      </c>
      <c r="Y2" s="51">
        <v>173900.0</v>
      </c>
      <c r="Z2" s="51">
        <v>5121.0</v>
      </c>
      <c r="AA2" s="51">
        <v>679.084661</v>
      </c>
      <c r="AC2" s="51"/>
    </row>
    <row r="3">
      <c r="A3" s="50">
        <v>45963.0</v>
      </c>
      <c r="B3" s="51">
        <v>19674.0</v>
      </c>
      <c r="C3" s="51">
        <v>81.0</v>
      </c>
      <c r="D3" s="51">
        <v>0.411710887</v>
      </c>
      <c r="E3" s="51">
        <v>11.6881163</v>
      </c>
      <c r="F3" s="51">
        <v>471.5061728</v>
      </c>
      <c r="G3" s="51">
        <v>38192.0</v>
      </c>
      <c r="H3" s="51">
        <v>5.0</v>
      </c>
      <c r="I3" s="51">
        <v>7638.0</v>
      </c>
      <c r="J3" s="51">
        <v>209700.0</v>
      </c>
      <c r="K3" s="51">
        <v>6.172839506</v>
      </c>
      <c r="L3" s="51">
        <v>549.0678676</v>
      </c>
      <c r="M3" s="51">
        <v>5.0</v>
      </c>
      <c r="N3" s="51">
        <v>6.172839506</v>
      </c>
      <c r="O3" s="51">
        <v>209700.0</v>
      </c>
      <c r="P3" s="51">
        <v>7638.0</v>
      </c>
      <c r="Q3" s="51">
        <v>549.0678676</v>
      </c>
      <c r="R3" s="51" t="s">
        <v>1949</v>
      </c>
      <c r="S3" s="51" t="s">
        <v>1949</v>
      </c>
      <c r="T3" s="51" t="s">
        <v>1949</v>
      </c>
      <c r="U3" s="51" t="s">
        <v>1949</v>
      </c>
      <c r="V3" s="51" t="s">
        <v>1949</v>
      </c>
      <c r="W3" s="51">
        <v>8.0</v>
      </c>
      <c r="X3" s="51">
        <v>9.87654321</v>
      </c>
      <c r="Y3" s="51">
        <v>177500.0</v>
      </c>
      <c r="Z3" s="51">
        <v>4774.0</v>
      </c>
      <c r="AA3" s="51">
        <v>464.7570172</v>
      </c>
      <c r="AC3" s="52"/>
    </row>
    <row r="4">
      <c r="A4" s="50">
        <v>45964.0</v>
      </c>
      <c r="B4" s="51">
        <v>27417.0</v>
      </c>
      <c r="C4" s="51">
        <v>74.0</v>
      </c>
      <c r="D4" s="51">
        <v>0.269905533</v>
      </c>
      <c r="E4" s="51">
        <v>13.64536601</v>
      </c>
      <c r="F4" s="51">
        <v>437.6216216</v>
      </c>
      <c r="G4" s="51">
        <v>32384.0</v>
      </c>
      <c r="H4" s="51">
        <v>9.0</v>
      </c>
      <c r="I4" s="51">
        <v>3598.0</v>
      </c>
      <c r="J4" s="51">
        <v>285000.0</v>
      </c>
      <c r="K4" s="51">
        <v>12.16216216</v>
      </c>
      <c r="L4" s="51">
        <v>880.0642292</v>
      </c>
      <c r="M4" s="51">
        <v>9.0</v>
      </c>
      <c r="N4" s="51">
        <v>12.16216216</v>
      </c>
      <c r="O4" s="51">
        <v>285000.0</v>
      </c>
      <c r="P4" s="51">
        <v>3598.0</v>
      </c>
      <c r="Q4" s="51">
        <v>880.0642292</v>
      </c>
      <c r="R4" s="51" t="s">
        <v>1949</v>
      </c>
      <c r="S4" s="51" t="s">
        <v>1949</v>
      </c>
      <c r="T4" s="51" t="s">
        <v>1949</v>
      </c>
      <c r="U4" s="51" t="s">
        <v>1949</v>
      </c>
      <c r="V4" s="51" t="s">
        <v>1949</v>
      </c>
      <c r="W4" s="51">
        <v>5.0</v>
      </c>
      <c r="X4" s="51">
        <v>6.756756757</v>
      </c>
      <c r="Y4" s="51">
        <v>140700.0</v>
      </c>
      <c r="Z4" s="51">
        <v>6476.0</v>
      </c>
      <c r="AA4" s="51">
        <v>434.4738142</v>
      </c>
      <c r="AC4" s="51"/>
    </row>
    <row r="5">
      <c r="A5" s="50">
        <v>45965.0</v>
      </c>
      <c r="B5" s="51">
        <v>30417.0</v>
      </c>
      <c r="C5" s="51">
        <v>66.0</v>
      </c>
      <c r="D5" s="51">
        <v>0.216983923</v>
      </c>
      <c r="E5" s="51">
        <v>13.04967617</v>
      </c>
      <c r="F5" s="51">
        <v>366.3333333</v>
      </c>
      <c r="G5" s="51">
        <v>24178.0</v>
      </c>
      <c r="H5" s="51">
        <v>3.0</v>
      </c>
      <c r="I5" s="51">
        <v>8059.0</v>
      </c>
      <c r="J5" s="51">
        <v>80500.0</v>
      </c>
      <c r="K5" s="51">
        <v>4.545454545</v>
      </c>
      <c r="L5" s="51">
        <v>332.9473075</v>
      </c>
      <c r="M5" s="51">
        <v>3.0</v>
      </c>
      <c r="N5" s="51">
        <v>4.545454545</v>
      </c>
      <c r="O5" s="51">
        <v>80500.0</v>
      </c>
      <c r="P5" s="51">
        <v>8059.0</v>
      </c>
      <c r="Q5" s="51">
        <v>332.9473075</v>
      </c>
      <c r="R5" s="51" t="s">
        <v>1949</v>
      </c>
      <c r="S5" s="51" t="s">
        <v>1949</v>
      </c>
      <c r="T5" s="51" t="s">
        <v>1949</v>
      </c>
      <c r="U5" s="51" t="s">
        <v>1949</v>
      </c>
      <c r="V5" s="51" t="s">
        <v>1949</v>
      </c>
      <c r="W5" s="51">
        <v>5.0</v>
      </c>
      <c r="X5" s="51">
        <v>7.575757576</v>
      </c>
      <c r="Y5" s="51">
        <v>291400.0</v>
      </c>
      <c r="Z5" s="51">
        <v>4835.0</v>
      </c>
      <c r="AA5" s="51">
        <v>1205.227893</v>
      </c>
      <c r="AC5" s="51"/>
    </row>
    <row r="6">
      <c r="A6" s="50">
        <v>45966.0</v>
      </c>
      <c r="B6" s="51">
        <v>28333.0</v>
      </c>
      <c r="C6" s="51">
        <v>72.0</v>
      </c>
      <c r="D6" s="51">
        <v>0.254120637</v>
      </c>
      <c r="E6" s="51">
        <v>11.71503194</v>
      </c>
      <c r="F6" s="51">
        <v>432.0555556</v>
      </c>
      <c r="G6" s="51">
        <v>31108.0</v>
      </c>
      <c r="H6" s="51">
        <v>4.0</v>
      </c>
      <c r="I6" s="51">
        <v>7777.0</v>
      </c>
      <c r="J6" s="51">
        <v>90900.0</v>
      </c>
      <c r="K6" s="51">
        <v>5.555555556</v>
      </c>
      <c r="L6" s="51">
        <v>292.2077922</v>
      </c>
      <c r="M6" s="51">
        <v>4.0</v>
      </c>
      <c r="N6" s="51">
        <v>5.555555556</v>
      </c>
      <c r="O6" s="51">
        <v>90900.0</v>
      </c>
      <c r="P6" s="51">
        <v>7777.0</v>
      </c>
      <c r="Q6" s="51">
        <v>292.2077922</v>
      </c>
      <c r="R6" s="51" t="s">
        <v>1949</v>
      </c>
      <c r="S6" s="51" t="s">
        <v>1949</v>
      </c>
      <c r="T6" s="51" t="s">
        <v>1949</v>
      </c>
      <c r="U6" s="51" t="s">
        <v>1949</v>
      </c>
      <c r="V6" s="51" t="s">
        <v>1949</v>
      </c>
      <c r="W6" s="51">
        <v>1.0</v>
      </c>
      <c r="X6" s="51">
        <v>1.388888889</v>
      </c>
      <c r="Y6" s="51">
        <v>33000.0</v>
      </c>
      <c r="Z6" s="51">
        <v>31108.0</v>
      </c>
      <c r="AA6" s="51">
        <v>106.0820368</v>
      </c>
      <c r="AC6" s="52"/>
    </row>
    <row r="7">
      <c r="A7" s="50">
        <v>45967.0</v>
      </c>
      <c r="B7" s="51">
        <v>29754.0</v>
      </c>
      <c r="C7" s="51">
        <v>72.0</v>
      </c>
      <c r="D7" s="51">
        <v>0.241984271</v>
      </c>
      <c r="E7" s="51">
        <v>11.61158164</v>
      </c>
      <c r="F7" s="51">
        <v>442.5972222</v>
      </c>
      <c r="G7" s="51">
        <v>31867.0</v>
      </c>
      <c r="H7" s="51">
        <v>4.0</v>
      </c>
      <c r="I7" s="51">
        <v>7966.0</v>
      </c>
      <c r="J7" s="51">
        <v>127400.0</v>
      </c>
      <c r="K7" s="51">
        <v>5.555555556</v>
      </c>
      <c r="L7" s="51">
        <v>399.7866131</v>
      </c>
      <c r="M7" s="51">
        <v>4.0</v>
      </c>
      <c r="N7" s="51">
        <v>5.555555556</v>
      </c>
      <c r="O7" s="51">
        <v>127400.0</v>
      </c>
      <c r="P7" s="51">
        <v>7966.0</v>
      </c>
      <c r="Q7" s="51">
        <v>399.7866131</v>
      </c>
      <c r="R7" s="51" t="s">
        <v>1949</v>
      </c>
      <c r="S7" s="51" t="s">
        <v>1949</v>
      </c>
      <c r="T7" s="51" t="s">
        <v>1949</v>
      </c>
      <c r="U7" s="51" t="s">
        <v>1949</v>
      </c>
      <c r="V7" s="51" t="s">
        <v>1949</v>
      </c>
      <c r="W7" s="51">
        <v>5.0</v>
      </c>
      <c r="X7" s="51">
        <v>6.944444444</v>
      </c>
      <c r="Y7" s="51">
        <v>176800.0</v>
      </c>
      <c r="Z7" s="51">
        <v>6373.0</v>
      </c>
      <c r="AA7" s="51">
        <v>554.8059121</v>
      </c>
      <c r="AC7" s="51"/>
    </row>
    <row r="8">
      <c r="A8" s="50">
        <v>45968.0</v>
      </c>
      <c r="B8" s="51">
        <v>33433.0</v>
      </c>
      <c r="C8" s="51">
        <v>73.0</v>
      </c>
      <c r="D8" s="51">
        <v>0.218347142</v>
      </c>
      <c r="E8" s="51">
        <v>11.04603236</v>
      </c>
      <c r="F8" s="51">
        <v>425.9863014</v>
      </c>
      <c r="G8" s="51">
        <v>31097.0</v>
      </c>
      <c r="H8" s="51">
        <v>2.0</v>
      </c>
      <c r="I8" s="51">
        <v>15548.0</v>
      </c>
      <c r="J8" s="51">
        <v>133000.0</v>
      </c>
      <c r="K8" s="51">
        <v>2.739726027</v>
      </c>
      <c r="L8" s="51">
        <v>427.6939898</v>
      </c>
      <c r="M8" s="51">
        <v>2.0</v>
      </c>
      <c r="N8" s="51">
        <v>2.739726027</v>
      </c>
      <c r="O8" s="51">
        <v>133000.0</v>
      </c>
      <c r="P8" s="51">
        <v>15548.0</v>
      </c>
      <c r="Q8" s="51">
        <v>427.6939898</v>
      </c>
      <c r="R8" s="51" t="s">
        <v>1949</v>
      </c>
      <c r="S8" s="51" t="s">
        <v>1949</v>
      </c>
      <c r="T8" s="51" t="s">
        <v>1949</v>
      </c>
      <c r="U8" s="51" t="s">
        <v>1949</v>
      </c>
      <c r="V8" s="51" t="s">
        <v>1949</v>
      </c>
      <c r="W8" s="51">
        <v>8.0</v>
      </c>
      <c r="X8" s="51">
        <v>10.95890411</v>
      </c>
      <c r="Y8" s="51">
        <v>362900.0</v>
      </c>
      <c r="Z8" s="51">
        <v>3887.0</v>
      </c>
      <c r="AA8" s="51">
        <v>1166.993601</v>
      </c>
      <c r="AC8" s="51"/>
    </row>
    <row r="9">
      <c r="A9" s="50">
        <v>45969.0</v>
      </c>
      <c r="B9" s="51">
        <v>31217.0</v>
      </c>
      <c r="C9" s="51">
        <v>79.0</v>
      </c>
      <c r="D9" s="51">
        <v>0.253067239</v>
      </c>
      <c r="E9" s="51">
        <v>9.676266137</v>
      </c>
      <c r="F9" s="51">
        <v>462.835443</v>
      </c>
      <c r="G9" s="51">
        <v>36564.0</v>
      </c>
      <c r="H9" s="51">
        <v>3.0</v>
      </c>
      <c r="I9" s="51">
        <v>12188.0</v>
      </c>
      <c r="J9" s="51">
        <v>105900.0</v>
      </c>
      <c r="K9" s="51">
        <v>3.797468354</v>
      </c>
      <c r="L9" s="51">
        <v>289.6291434</v>
      </c>
      <c r="M9" s="51">
        <v>3.0</v>
      </c>
      <c r="N9" s="51">
        <v>3.797468354</v>
      </c>
      <c r="O9" s="51">
        <v>105900.0</v>
      </c>
      <c r="P9" s="51">
        <v>12188.0</v>
      </c>
      <c r="Q9" s="51">
        <v>289.6291434</v>
      </c>
      <c r="R9" s="51" t="s">
        <v>1949</v>
      </c>
      <c r="S9" s="51" t="s">
        <v>1949</v>
      </c>
      <c r="T9" s="51" t="s">
        <v>1949</v>
      </c>
      <c r="U9" s="51" t="s">
        <v>1949</v>
      </c>
      <c r="V9" s="51" t="s">
        <v>1949</v>
      </c>
      <c r="W9" s="51">
        <v>6.0</v>
      </c>
      <c r="X9" s="51">
        <v>7.594936709</v>
      </c>
      <c r="Y9" s="51">
        <v>220800.0</v>
      </c>
      <c r="Z9" s="51">
        <v>6094.0</v>
      </c>
      <c r="AA9" s="51">
        <v>603.8726616</v>
      </c>
      <c r="AC9" s="52"/>
    </row>
    <row r="10">
      <c r="A10" s="50">
        <v>45970.0</v>
      </c>
      <c r="B10" s="51">
        <v>38426.0</v>
      </c>
      <c r="C10" s="51">
        <v>73.0</v>
      </c>
      <c r="D10" s="51">
        <v>0.189975537</v>
      </c>
      <c r="E10" s="51">
        <v>10.28472909</v>
      </c>
      <c r="F10" s="51">
        <v>462.0</v>
      </c>
      <c r="G10" s="51">
        <v>33726.0</v>
      </c>
      <c r="H10" s="51">
        <v>1.0</v>
      </c>
      <c r="I10" s="51">
        <v>33726.0</v>
      </c>
      <c r="J10" s="51">
        <v>15000.0</v>
      </c>
      <c r="K10" s="51">
        <v>1.369863014</v>
      </c>
      <c r="L10" s="51">
        <v>44.47607187</v>
      </c>
      <c r="M10" s="51">
        <v>1.0</v>
      </c>
      <c r="N10" s="51">
        <v>1.369863014</v>
      </c>
      <c r="O10" s="51">
        <v>15000.0</v>
      </c>
      <c r="P10" s="51">
        <v>33726.0</v>
      </c>
      <c r="Q10" s="51">
        <v>44.47607187</v>
      </c>
      <c r="R10" s="51" t="s">
        <v>1949</v>
      </c>
      <c r="S10" s="51" t="s">
        <v>1949</v>
      </c>
      <c r="T10" s="51" t="s">
        <v>1949</v>
      </c>
      <c r="U10" s="51" t="s">
        <v>1949</v>
      </c>
      <c r="V10" s="51" t="s">
        <v>1949</v>
      </c>
      <c r="W10" s="51">
        <v>8.0</v>
      </c>
      <c r="X10" s="51">
        <v>10.95890411</v>
      </c>
      <c r="Y10" s="51">
        <v>490500.0</v>
      </c>
      <c r="Z10" s="51">
        <v>4215.0</v>
      </c>
      <c r="AA10" s="51">
        <v>1454.36755</v>
      </c>
      <c r="AC10" s="51"/>
    </row>
    <row r="11">
      <c r="A11" s="50">
        <v>45971.0</v>
      </c>
      <c r="B11" s="51">
        <v>34496.0</v>
      </c>
      <c r="C11" s="51">
        <v>73.0</v>
      </c>
      <c r="D11" s="51">
        <v>0.211618738</v>
      </c>
      <c r="E11" s="51">
        <v>12.07122565</v>
      </c>
      <c r="F11" s="51">
        <v>415.4383562</v>
      </c>
      <c r="G11" s="51">
        <v>30327.0</v>
      </c>
      <c r="H11" s="51">
        <v>4.0</v>
      </c>
      <c r="I11" s="51">
        <v>7581.0</v>
      </c>
      <c r="J11" s="51">
        <v>210300.0</v>
      </c>
      <c r="K11" s="51">
        <v>5.479452055</v>
      </c>
      <c r="L11" s="51">
        <v>693.4414878</v>
      </c>
      <c r="M11" s="51">
        <v>4.0</v>
      </c>
      <c r="N11" s="51">
        <v>5.479452055</v>
      </c>
      <c r="O11" s="51">
        <v>210300.0</v>
      </c>
      <c r="P11" s="51">
        <v>7581.0</v>
      </c>
      <c r="Q11" s="51">
        <v>693.4414878</v>
      </c>
      <c r="R11" s="51" t="s">
        <v>1949</v>
      </c>
      <c r="S11" s="51" t="s">
        <v>1949</v>
      </c>
      <c r="T11" s="51" t="s">
        <v>1949</v>
      </c>
      <c r="U11" s="51" t="s">
        <v>1949</v>
      </c>
      <c r="V11" s="51" t="s">
        <v>1949</v>
      </c>
      <c r="W11" s="51">
        <v>5.0</v>
      </c>
      <c r="X11" s="51">
        <v>6.849315068</v>
      </c>
      <c r="Y11" s="51">
        <v>178800.0</v>
      </c>
      <c r="Z11" s="51">
        <v>6065.0</v>
      </c>
      <c r="AA11" s="51">
        <v>589.5736472</v>
      </c>
      <c r="AC11" s="51"/>
    </row>
    <row r="12">
      <c r="A12" s="50">
        <v>45972.0</v>
      </c>
      <c r="B12" s="51">
        <v>45251.0</v>
      </c>
      <c r="C12" s="51">
        <v>120.0</v>
      </c>
      <c r="D12" s="51">
        <v>0.26518751</v>
      </c>
      <c r="E12" s="51">
        <v>12.05926941</v>
      </c>
      <c r="F12" s="51">
        <v>497.0166667</v>
      </c>
      <c r="G12" s="51">
        <v>59642.0</v>
      </c>
      <c r="H12" s="51">
        <v>8.0</v>
      </c>
      <c r="I12" s="51">
        <v>7455.0</v>
      </c>
      <c r="J12" s="51">
        <v>326300.0</v>
      </c>
      <c r="K12" s="51">
        <v>6.666666667</v>
      </c>
      <c r="L12" s="51">
        <v>547.0976828</v>
      </c>
      <c r="M12" s="51">
        <v>8.0</v>
      </c>
      <c r="N12" s="51">
        <v>6.666666667</v>
      </c>
      <c r="O12" s="51">
        <v>326300.0</v>
      </c>
      <c r="P12" s="51">
        <v>7455.0</v>
      </c>
      <c r="Q12" s="51">
        <v>547.0976828</v>
      </c>
      <c r="R12" s="51" t="s">
        <v>1949</v>
      </c>
      <c r="S12" s="51" t="s">
        <v>1949</v>
      </c>
      <c r="T12" s="51" t="s">
        <v>1949</v>
      </c>
      <c r="U12" s="51" t="s">
        <v>1949</v>
      </c>
      <c r="V12" s="51" t="s">
        <v>1949</v>
      </c>
      <c r="W12" s="51">
        <v>10.0</v>
      </c>
      <c r="X12" s="51">
        <v>8.333333333</v>
      </c>
      <c r="Y12" s="51">
        <v>271400.0</v>
      </c>
      <c r="Z12" s="51">
        <v>5964.0</v>
      </c>
      <c r="AA12" s="51">
        <v>455.0484558</v>
      </c>
      <c r="AC12" s="51"/>
    </row>
    <row r="13">
      <c r="A13" s="50">
        <v>45973.0</v>
      </c>
      <c r="B13" s="51">
        <v>36300.0</v>
      </c>
      <c r="C13" s="51">
        <v>54.0</v>
      </c>
      <c r="D13" s="51">
        <v>0.148760331</v>
      </c>
      <c r="E13" s="51">
        <v>12.38922865</v>
      </c>
      <c r="F13" s="51">
        <v>292.9259259</v>
      </c>
      <c r="G13" s="51">
        <v>15818.0</v>
      </c>
      <c r="H13" s="51">
        <v>1.0</v>
      </c>
      <c r="I13" s="51">
        <v>15818.0</v>
      </c>
      <c r="J13" s="51">
        <v>30000.0</v>
      </c>
      <c r="K13" s="51">
        <v>1.851851852</v>
      </c>
      <c r="L13" s="51">
        <v>189.6573524</v>
      </c>
      <c r="M13" s="51">
        <v>1.0</v>
      </c>
      <c r="N13" s="51">
        <v>1.851851852</v>
      </c>
      <c r="O13" s="51">
        <v>30000.0</v>
      </c>
      <c r="P13" s="51">
        <v>15818.0</v>
      </c>
      <c r="Q13" s="51">
        <v>189.6573524</v>
      </c>
      <c r="R13" s="51" t="s">
        <v>1949</v>
      </c>
      <c r="S13" s="51" t="s">
        <v>1949</v>
      </c>
      <c r="T13" s="51" t="s">
        <v>1949</v>
      </c>
      <c r="U13" s="51" t="s">
        <v>1949</v>
      </c>
      <c r="V13" s="51" t="s">
        <v>1949</v>
      </c>
      <c r="W13" s="51">
        <v>6.0</v>
      </c>
      <c r="X13" s="51">
        <v>11.11111111</v>
      </c>
      <c r="Y13" s="51">
        <v>171000.0</v>
      </c>
      <c r="Z13" s="51">
        <v>2636.0</v>
      </c>
      <c r="AA13" s="51">
        <v>1081.046909</v>
      </c>
      <c r="AC13" s="51"/>
    </row>
    <row r="14">
      <c r="A14" s="50">
        <v>45974.0</v>
      </c>
      <c r="B14" s="51">
        <v>27563.0</v>
      </c>
      <c r="C14" s="51">
        <v>62.0</v>
      </c>
      <c r="D14" s="51">
        <v>0.22493923</v>
      </c>
      <c r="E14" s="51">
        <v>12.6075536</v>
      </c>
      <c r="F14" s="51">
        <v>431.483871</v>
      </c>
      <c r="G14" s="51">
        <v>26752.0</v>
      </c>
      <c r="H14" s="51">
        <v>4.0</v>
      </c>
      <c r="I14" s="51">
        <v>6688.0</v>
      </c>
      <c r="J14" s="51">
        <v>159600.0</v>
      </c>
      <c r="K14" s="51">
        <v>6.451612903</v>
      </c>
      <c r="L14" s="51">
        <v>596.5909091</v>
      </c>
      <c r="M14" s="51">
        <v>4.0</v>
      </c>
      <c r="N14" s="51">
        <v>6.451612903</v>
      </c>
      <c r="O14" s="51">
        <v>159600.0</v>
      </c>
      <c r="P14" s="51">
        <v>6688.0</v>
      </c>
      <c r="Q14" s="51">
        <v>596.5909091</v>
      </c>
      <c r="R14" s="51" t="s">
        <v>1949</v>
      </c>
      <c r="S14" s="51" t="s">
        <v>1949</v>
      </c>
      <c r="T14" s="51" t="s">
        <v>1949</v>
      </c>
      <c r="U14" s="51" t="s">
        <v>1949</v>
      </c>
      <c r="V14" s="51" t="s">
        <v>1949</v>
      </c>
      <c r="W14" s="51">
        <v>6.0</v>
      </c>
      <c r="X14" s="51">
        <v>9.677419355</v>
      </c>
      <c r="Y14" s="51">
        <v>339800.0</v>
      </c>
      <c r="Z14" s="51">
        <v>4458.0</v>
      </c>
      <c r="AA14" s="51">
        <v>1270.185407</v>
      </c>
      <c r="AC14" s="51"/>
    </row>
    <row r="15">
      <c r="A15" s="50">
        <v>45975.0</v>
      </c>
      <c r="B15" s="51">
        <v>30292.0</v>
      </c>
      <c r="C15" s="51">
        <v>60.0</v>
      </c>
      <c r="D15" s="51">
        <v>0.198072098</v>
      </c>
      <c r="E15" s="51">
        <v>12.93981909</v>
      </c>
      <c r="F15" s="51">
        <v>380.6</v>
      </c>
      <c r="G15" s="51">
        <v>22836.0</v>
      </c>
      <c r="H15" s="51">
        <v>2.0</v>
      </c>
      <c r="I15" s="51">
        <v>11418.0</v>
      </c>
      <c r="J15" s="51">
        <v>30000.0</v>
      </c>
      <c r="K15" s="51">
        <v>3.333333333</v>
      </c>
      <c r="L15" s="51">
        <v>131.3715187</v>
      </c>
      <c r="M15" s="51">
        <v>2.0</v>
      </c>
      <c r="N15" s="51">
        <v>3.333333333</v>
      </c>
      <c r="O15" s="51">
        <v>30000.0</v>
      </c>
      <c r="P15" s="51">
        <v>11418.0</v>
      </c>
      <c r="Q15" s="51">
        <v>131.3715187</v>
      </c>
      <c r="R15" s="51" t="s">
        <v>1949</v>
      </c>
      <c r="S15" s="51" t="s">
        <v>1949</v>
      </c>
      <c r="T15" s="51" t="s">
        <v>1949</v>
      </c>
      <c r="U15" s="51" t="s">
        <v>1949</v>
      </c>
      <c r="V15" s="51" t="s">
        <v>1949</v>
      </c>
      <c r="W15" s="51">
        <v>1.0</v>
      </c>
      <c r="X15" s="51">
        <v>1.666666667</v>
      </c>
      <c r="Y15" s="51">
        <v>70000.0</v>
      </c>
      <c r="Z15" s="51">
        <v>22836.0</v>
      </c>
      <c r="AA15" s="51">
        <v>306.5335435</v>
      </c>
      <c r="AC15" s="52"/>
    </row>
    <row r="16">
      <c r="A16" s="50">
        <v>45976.0</v>
      </c>
      <c r="B16" s="51">
        <v>28093.0</v>
      </c>
      <c r="C16" s="51">
        <v>58.0</v>
      </c>
      <c r="D16" s="51">
        <v>0.206457125</v>
      </c>
      <c r="E16" s="51">
        <v>11.24475848</v>
      </c>
      <c r="F16" s="51">
        <v>294.1551724</v>
      </c>
      <c r="G16" s="51">
        <v>17061.0</v>
      </c>
      <c r="H16" s="51">
        <v>2.0</v>
      </c>
      <c r="I16" s="51">
        <v>8530.0</v>
      </c>
      <c r="J16" s="51">
        <v>38000.0</v>
      </c>
      <c r="K16" s="51">
        <v>3.448275862</v>
      </c>
      <c r="L16" s="51">
        <v>222.7302034</v>
      </c>
      <c r="M16" s="51">
        <v>2.0</v>
      </c>
      <c r="N16" s="51">
        <v>3.448275862</v>
      </c>
      <c r="O16" s="51">
        <v>38000.0</v>
      </c>
      <c r="P16" s="51">
        <v>8530.0</v>
      </c>
      <c r="Q16" s="51">
        <v>222.7302034</v>
      </c>
      <c r="R16" s="51" t="s">
        <v>1949</v>
      </c>
      <c r="S16" s="51" t="s">
        <v>1949</v>
      </c>
      <c r="T16" s="51" t="s">
        <v>1949</v>
      </c>
      <c r="U16" s="51" t="s">
        <v>1949</v>
      </c>
      <c r="V16" s="51" t="s">
        <v>1949</v>
      </c>
      <c r="W16" s="51">
        <v>4.0</v>
      </c>
      <c r="X16" s="51">
        <v>6.896551724</v>
      </c>
      <c r="Y16" s="51">
        <v>127000.0</v>
      </c>
      <c r="Z16" s="51">
        <v>4265.0</v>
      </c>
      <c r="AA16" s="51">
        <v>744.387785</v>
      </c>
      <c r="AC16" s="51"/>
    </row>
    <row r="17">
      <c r="A17" s="50">
        <v>45977.0</v>
      </c>
      <c r="B17" s="51">
        <v>24281.0</v>
      </c>
      <c r="C17" s="51">
        <v>55.0</v>
      </c>
      <c r="D17" s="51">
        <v>0.226514559</v>
      </c>
      <c r="E17" s="51">
        <v>11.02368107</v>
      </c>
      <c r="F17" s="51">
        <v>431.8</v>
      </c>
      <c r="G17" s="51">
        <v>23749.0</v>
      </c>
      <c r="H17" s="51">
        <v>2.0</v>
      </c>
      <c r="I17" s="51">
        <v>11874.0</v>
      </c>
      <c r="J17" s="51">
        <v>89900.0</v>
      </c>
      <c r="K17" s="51">
        <v>3.636363636</v>
      </c>
      <c r="L17" s="51">
        <v>378.5422544</v>
      </c>
      <c r="M17" s="51">
        <v>2.0</v>
      </c>
      <c r="N17" s="51">
        <v>3.636363636</v>
      </c>
      <c r="O17" s="51">
        <v>89900.0</v>
      </c>
      <c r="P17" s="51">
        <v>11874.0</v>
      </c>
      <c r="Q17" s="51">
        <v>378.5422544</v>
      </c>
      <c r="R17" s="51" t="s">
        <v>1949</v>
      </c>
      <c r="S17" s="51" t="s">
        <v>1949</v>
      </c>
      <c r="T17" s="51" t="s">
        <v>1949</v>
      </c>
      <c r="U17" s="51" t="s">
        <v>1949</v>
      </c>
      <c r="V17" s="51" t="s">
        <v>1949</v>
      </c>
      <c r="W17" s="51">
        <v>4.0</v>
      </c>
      <c r="X17" s="51">
        <v>7.272727273</v>
      </c>
      <c r="Y17" s="51">
        <v>239600.0</v>
      </c>
      <c r="Z17" s="51">
        <v>5937.0</v>
      </c>
      <c r="AA17" s="51">
        <v>1008.884585</v>
      </c>
      <c r="AC17" s="52"/>
    </row>
    <row r="18">
      <c r="A18" s="50">
        <v>45978.0</v>
      </c>
      <c r="B18" s="51">
        <v>35338.0</v>
      </c>
      <c r="C18" s="51">
        <v>67.0</v>
      </c>
      <c r="D18" s="51">
        <v>0.1895976</v>
      </c>
      <c r="E18" s="51">
        <v>11.47439017</v>
      </c>
      <c r="F18" s="51">
        <v>410.6119403</v>
      </c>
      <c r="G18" s="51">
        <v>27511.0</v>
      </c>
      <c r="H18" s="51">
        <v>6.0</v>
      </c>
      <c r="I18" s="51">
        <v>4585.0</v>
      </c>
      <c r="J18" s="51">
        <v>274900.0</v>
      </c>
      <c r="K18" s="51">
        <v>8.955223881</v>
      </c>
      <c r="L18" s="51">
        <v>999.236669</v>
      </c>
      <c r="M18" s="51">
        <v>6.0</v>
      </c>
      <c r="N18" s="51">
        <v>8.955223881</v>
      </c>
      <c r="O18" s="51">
        <v>274900.0</v>
      </c>
      <c r="P18" s="51">
        <v>4585.0</v>
      </c>
      <c r="Q18" s="51">
        <v>999.236669</v>
      </c>
      <c r="R18" s="51" t="s">
        <v>1949</v>
      </c>
      <c r="S18" s="51" t="s">
        <v>1949</v>
      </c>
      <c r="T18" s="51" t="s">
        <v>1949</v>
      </c>
      <c r="U18" s="51" t="s">
        <v>1949</v>
      </c>
      <c r="V18" s="51" t="s">
        <v>1949</v>
      </c>
      <c r="W18" s="51">
        <v>3.0</v>
      </c>
      <c r="X18" s="51">
        <v>4.47761194</v>
      </c>
      <c r="Y18" s="51">
        <v>158000.0</v>
      </c>
      <c r="Z18" s="51">
        <v>9170.0</v>
      </c>
      <c r="AA18" s="51">
        <v>574.3157283</v>
      </c>
      <c r="AC18" s="51"/>
    </row>
    <row r="19">
      <c r="A19" s="50">
        <v>45979.0</v>
      </c>
      <c r="B19" s="51">
        <v>51151.0</v>
      </c>
      <c r="C19" s="51">
        <v>106.0</v>
      </c>
      <c r="D19" s="51">
        <v>0.207229575</v>
      </c>
      <c r="E19" s="51">
        <v>10.80538015</v>
      </c>
      <c r="F19" s="51">
        <v>628.5566038</v>
      </c>
      <c r="G19" s="51">
        <v>66627.0</v>
      </c>
      <c r="H19" s="51">
        <v>4.0</v>
      </c>
      <c r="I19" s="51">
        <v>16656.0</v>
      </c>
      <c r="J19" s="51">
        <v>317000.0</v>
      </c>
      <c r="K19" s="51">
        <v>3.773584906</v>
      </c>
      <c r="L19" s="51">
        <v>475.7830909</v>
      </c>
      <c r="M19" s="51">
        <v>3.0</v>
      </c>
      <c r="N19" s="51">
        <v>2.830188679</v>
      </c>
      <c r="O19" s="51">
        <v>208000.0</v>
      </c>
      <c r="P19" s="51">
        <v>22209.0</v>
      </c>
      <c r="Q19" s="51">
        <v>312.1857505</v>
      </c>
      <c r="R19" s="51">
        <v>1.0</v>
      </c>
      <c r="S19" s="51">
        <v>0.943396226</v>
      </c>
      <c r="T19" s="51">
        <v>109000.0</v>
      </c>
      <c r="U19" s="51">
        <v>66627.0</v>
      </c>
      <c r="V19" s="51">
        <v>163.5973404</v>
      </c>
      <c r="W19" s="51">
        <v>7.0</v>
      </c>
      <c r="X19" s="51">
        <v>6.603773585</v>
      </c>
      <c r="Y19" s="51">
        <v>471800.0</v>
      </c>
      <c r="Z19" s="51">
        <v>9518.0</v>
      </c>
      <c r="AA19" s="51">
        <v>708.1213322</v>
      </c>
      <c r="AC19" s="52"/>
    </row>
    <row r="20">
      <c r="A20" s="50">
        <v>45980.0</v>
      </c>
      <c r="B20" s="51">
        <v>55402.0</v>
      </c>
      <c r="C20" s="51">
        <v>89.0</v>
      </c>
      <c r="D20" s="51">
        <v>0.16064402</v>
      </c>
      <c r="E20" s="51">
        <v>11.68261074</v>
      </c>
      <c r="F20" s="51">
        <v>503.7752809</v>
      </c>
      <c r="G20" s="51">
        <v>44836.0</v>
      </c>
      <c r="H20" s="51">
        <v>2.0</v>
      </c>
      <c r="I20" s="51">
        <v>22418.0</v>
      </c>
      <c r="J20" s="51">
        <v>178000.0</v>
      </c>
      <c r="K20" s="51">
        <v>2.247191011</v>
      </c>
      <c r="L20" s="51">
        <v>397.0024088</v>
      </c>
      <c r="M20" s="51">
        <v>2.0</v>
      </c>
      <c r="N20" s="51">
        <v>2.247191011</v>
      </c>
      <c r="O20" s="51">
        <v>178000.0</v>
      </c>
      <c r="P20" s="51">
        <v>22418.0</v>
      </c>
      <c r="Q20" s="51">
        <v>397.0024088</v>
      </c>
      <c r="R20" s="51" t="s">
        <v>1949</v>
      </c>
      <c r="S20" s="51" t="s">
        <v>1949</v>
      </c>
      <c r="T20" s="51" t="s">
        <v>1949</v>
      </c>
      <c r="U20" s="51" t="s">
        <v>1949</v>
      </c>
      <c r="V20" s="51" t="s">
        <v>1949</v>
      </c>
      <c r="W20" s="51">
        <v>3.0</v>
      </c>
      <c r="X20" s="51">
        <v>3.370786517</v>
      </c>
      <c r="Y20" s="51">
        <v>186800.0</v>
      </c>
      <c r="Z20" s="51">
        <v>14945.0</v>
      </c>
      <c r="AA20" s="51">
        <v>416.6294942</v>
      </c>
      <c r="AC20" s="52"/>
    </row>
    <row r="21">
      <c r="A21" s="50">
        <v>45981.0</v>
      </c>
      <c r="B21" s="51">
        <v>48225.0</v>
      </c>
      <c r="C21" s="51">
        <v>102.0</v>
      </c>
      <c r="D21" s="51">
        <v>0.211508554</v>
      </c>
      <c r="E21" s="51">
        <v>14.70210472</v>
      </c>
      <c r="F21" s="51">
        <v>551.9411765</v>
      </c>
      <c r="G21" s="51">
        <v>56298.0</v>
      </c>
      <c r="H21" s="51">
        <v>7.0</v>
      </c>
      <c r="I21" s="51">
        <v>8042.0</v>
      </c>
      <c r="J21" s="51">
        <v>462700.0</v>
      </c>
      <c r="K21" s="51">
        <v>6.862745098</v>
      </c>
      <c r="L21" s="51">
        <v>821.8764432</v>
      </c>
      <c r="M21" s="51">
        <v>7.0</v>
      </c>
      <c r="N21" s="51">
        <v>6.862745098</v>
      </c>
      <c r="O21" s="51">
        <v>462700.0</v>
      </c>
      <c r="P21" s="51">
        <v>8042.0</v>
      </c>
      <c r="Q21" s="51">
        <v>821.8764432</v>
      </c>
      <c r="R21" s="51" t="s">
        <v>1949</v>
      </c>
      <c r="S21" s="51" t="s">
        <v>1949</v>
      </c>
      <c r="T21" s="51" t="s">
        <v>1949</v>
      </c>
      <c r="U21" s="51" t="s">
        <v>1949</v>
      </c>
      <c r="V21" s="51" t="s">
        <v>1949</v>
      </c>
      <c r="W21" s="51">
        <v>16.0</v>
      </c>
      <c r="X21" s="51">
        <v>15.68627451</v>
      </c>
      <c r="Y21" s="51">
        <v>901400.0</v>
      </c>
      <c r="Z21" s="51">
        <v>3518.0</v>
      </c>
      <c r="AA21" s="51">
        <v>1601.122598</v>
      </c>
      <c r="AC21" s="53"/>
    </row>
    <row r="22">
      <c r="A22" s="50">
        <v>45982.0</v>
      </c>
      <c r="B22" s="51">
        <v>45924.0</v>
      </c>
      <c r="C22" s="51">
        <v>131.0</v>
      </c>
      <c r="D22" s="51">
        <v>0.285253898</v>
      </c>
      <c r="E22" s="51">
        <v>17.21764219</v>
      </c>
      <c r="F22" s="51">
        <v>553.1908397</v>
      </c>
      <c r="G22" s="51">
        <v>72468.0</v>
      </c>
      <c r="H22" s="51">
        <v>10.0</v>
      </c>
      <c r="I22" s="51">
        <v>7246.0</v>
      </c>
      <c r="J22" s="51">
        <v>332800.0</v>
      </c>
      <c r="K22" s="51">
        <v>7.633587786</v>
      </c>
      <c r="L22" s="51">
        <v>459.2371805</v>
      </c>
      <c r="M22" s="51">
        <v>10.0</v>
      </c>
      <c r="N22" s="51">
        <v>7.633587786</v>
      </c>
      <c r="O22" s="51">
        <v>332800.0</v>
      </c>
      <c r="P22" s="51">
        <v>7246.0</v>
      </c>
      <c r="Q22" s="51">
        <v>459.2371805</v>
      </c>
      <c r="R22" s="51" t="s">
        <v>1949</v>
      </c>
      <c r="S22" s="51" t="s">
        <v>1949</v>
      </c>
      <c r="T22" s="51" t="s">
        <v>1949</v>
      </c>
      <c r="U22" s="51" t="s">
        <v>1949</v>
      </c>
      <c r="V22" s="51" t="s">
        <v>1949</v>
      </c>
      <c r="W22" s="51">
        <v>24.0</v>
      </c>
      <c r="X22" s="51">
        <v>18.32061069</v>
      </c>
      <c r="Y22" s="51">
        <v>1200300.0</v>
      </c>
      <c r="Z22" s="51">
        <v>3019.0</v>
      </c>
      <c r="AA22" s="51">
        <v>1656.317271</v>
      </c>
      <c r="AC22" s="52"/>
    </row>
    <row r="23">
      <c r="A23" s="50">
        <v>45983.0</v>
      </c>
      <c r="B23" s="51">
        <v>37599.0</v>
      </c>
      <c r="C23" s="51">
        <v>116.0</v>
      </c>
      <c r="D23" s="51">
        <v>0.308518844</v>
      </c>
      <c r="E23" s="51">
        <v>13.29221522</v>
      </c>
      <c r="F23" s="51">
        <v>507.4224138</v>
      </c>
      <c r="G23" s="51">
        <v>58861.0</v>
      </c>
      <c r="H23" s="51">
        <v>11.0</v>
      </c>
      <c r="I23" s="51">
        <v>5351.0</v>
      </c>
      <c r="J23" s="51">
        <v>591300.0</v>
      </c>
      <c r="K23" s="51">
        <v>9.482758621</v>
      </c>
      <c r="L23" s="51">
        <v>1004.570089</v>
      </c>
      <c r="M23" s="51">
        <v>9.0</v>
      </c>
      <c r="N23" s="51">
        <v>7.75862069</v>
      </c>
      <c r="O23" s="51">
        <v>373300.0</v>
      </c>
      <c r="P23" s="51">
        <v>6540.0</v>
      </c>
      <c r="Q23" s="51">
        <v>634.2060108</v>
      </c>
      <c r="R23" s="51">
        <v>2.0</v>
      </c>
      <c r="S23" s="51">
        <v>1.724137931</v>
      </c>
      <c r="T23" s="51">
        <v>218000.0</v>
      </c>
      <c r="U23" s="51">
        <v>29430.0</v>
      </c>
      <c r="V23" s="51">
        <v>370.3640781</v>
      </c>
      <c r="W23" s="51">
        <v>10.0</v>
      </c>
      <c r="X23" s="51">
        <v>8.620689655</v>
      </c>
      <c r="Y23" s="51">
        <v>550200.0</v>
      </c>
      <c r="Z23" s="51">
        <v>5886.0</v>
      </c>
      <c r="AA23" s="51">
        <v>934.7445677</v>
      </c>
      <c r="AC23" s="52"/>
    </row>
    <row r="24">
      <c r="A24" s="50">
        <v>45984.0</v>
      </c>
      <c r="B24" s="51">
        <v>40607.0</v>
      </c>
      <c r="C24" s="51">
        <v>113.0</v>
      </c>
      <c r="D24" s="51">
        <v>0.278277144</v>
      </c>
      <c r="E24" s="51">
        <v>12.99990149</v>
      </c>
      <c r="F24" s="51">
        <v>507.5575221</v>
      </c>
      <c r="G24" s="51">
        <v>57354.0</v>
      </c>
      <c r="H24" s="51">
        <v>4.0</v>
      </c>
      <c r="I24" s="51">
        <v>14338.0</v>
      </c>
      <c r="J24" s="51">
        <v>301400.0</v>
      </c>
      <c r="K24" s="51">
        <v>3.539823009</v>
      </c>
      <c r="L24" s="51">
        <v>525.508247</v>
      </c>
      <c r="M24" s="51">
        <v>3.0</v>
      </c>
      <c r="N24" s="51">
        <v>2.654867257</v>
      </c>
      <c r="O24" s="51">
        <v>182400.0</v>
      </c>
      <c r="P24" s="51">
        <v>19118.0</v>
      </c>
      <c r="Q24" s="51">
        <v>318.024898</v>
      </c>
      <c r="R24" s="51">
        <v>1.0</v>
      </c>
      <c r="S24" s="51">
        <v>0.884955752</v>
      </c>
      <c r="T24" s="51">
        <v>119000.0</v>
      </c>
      <c r="U24" s="51">
        <v>57354.0</v>
      </c>
      <c r="V24" s="51">
        <v>207.483349</v>
      </c>
      <c r="W24" s="51">
        <v>10.0</v>
      </c>
      <c r="X24" s="51">
        <v>8.849557522</v>
      </c>
      <c r="Y24" s="51">
        <v>746900.0</v>
      </c>
      <c r="Z24" s="51">
        <v>5735.0</v>
      </c>
      <c r="AA24" s="51">
        <v>1302.263138</v>
      </c>
      <c r="AC24" s="53"/>
    </row>
    <row r="25">
      <c r="A25" s="50">
        <v>45985.0</v>
      </c>
      <c r="B25" s="51">
        <v>56845.0</v>
      </c>
      <c r="C25" s="51">
        <v>115.0</v>
      </c>
      <c r="D25" s="51">
        <v>0.202304512</v>
      </c>
      <c r="E25" s="51">
        <v>17.92743425</v>
      </c>
      <c r="F25" s="51">
        <v>491.6521739</v>
      </c>
      <c r="G25" s="51">
        <v>56540.0</v>
      </c>
      <c r="H25" s="51">
        <v>6.0</v>
      </c>
      <c r="I25" s="51">
        <v>9423.0</v>
      </c>
      <c r="J25" s="51">
        <v>219800.0</v>
      </c>
      <c r="K25" s="51">
        <v>5.217391304</v>
      </c>
      <c r="L25" s="51">
        <v>388.7513265</v>
      </c>
      <c r="M25" s="51">
        <v>6.0</v>
      </c>
      <c r="N25" s="51">
        <v>5.217391304</v>
      </c>
      <c r="O25" s="51">
        <v>219800.0</v>
      </c>
      <c r="P25" s="51">
        <v>9423.0</v>
      </c>
      <c r="Q25" s="51">
        <v>388.7513265</v>
      </c>
      <c r="R25" s="51" t="s">
        <v>1949</v>
      </c>
      <c r="S25" s="51" t="s">
        <v>1949</v>
      </c>
      <c r="T25" s="51" t="s">
        <v>1949</v>
      </c>
      <c r="U25" s="51" t="s">
        <v>1949</v>
      </c>
      <c r="V25" s="51" t="s">
        <v>1949</v>
      </c>
      <c r="W25" s="51">
        <v>12.0</v>
      </c>
      <c r="X25" s="51">
        <v>10.43478261</v>
      </c>
      <c r="Y25" s="51">
        <v>561900.0</v>
      </c>
      <c r="Z25" s="51">
        <v>4711.0</v>
      </c>
      <c r="AA25" s="51">
        <v>993.8096923</v>
      </c>
      <c r="AC25" s="52"/>
    </row>
    <row r="26">
      <c r="A26" s="50">
        <v>45986.0</v>
      </c>
      <c r="B26" s="51">
        <v>67426.0</v>
      </c>
      <c r="C26" s="51">
        <v>156.0</v>
      </c>
      <c r="D26" s="51">
        <v>0.231364755</v>
      </c>
      <c r="E26" s="51">
        <v>17.23909175</v>
      </c>
      <c r="F26" s="51">
        <v>512.0641026</v>
      </c>
      <c r="G26" s="51">
        <v>79882.0</v>
      </c>
      <c r="H26" s="51">
        <v>10.0</v>
      </c>
      <c r="I26" s="51">
        <v>7988.0</v>
      </c>
      <c r="J26" s="51">
        <v>593800.0</v>
      </c>
      <c r="K26" s="51">
        <v>6.41025641</v>
      </c>
      <c r="L26" s="51">
        <v>743.346436</v>
      </c>
      <c r="M26" s="51">
        <v>9.0</v>
      </c>
      <c r="N26" s="51">
        <v>5.769230769</v>
      </c>
      <c r="O26" s="51">
        <v>573900.0</v>
      </c>
      <c r="P26" s="51">
        <v>8875.0</v>
      </c>
      <c r="Q26" s="51">
        <v>718.4346912</v>
      </c>
      <c r="R26" s="51">
        <v>1.0</v>
      </c>
      <c r="S26" s="51">
        <v>0.641025641</v>
      </c>
      <c r="T26" s="51">
        <v>19900.0</v>
      </c>
      <c r="U26" s="51">
        <v>79882.0</v>
      </c>
      <c r="V26" s="51">
        <v>24.91174482</v>
      </c>
      <c r="W26" s="51">
        <v>10.0</v>
      </c>
      <c r="X26" s="51">
        <v>6.41025641</v>
      </c>
      <c r="Y26" s="51">
        <v>489800.0</v>
      </c>
      <c r="Z26" s="51">
        <v>7988.0</v>
      </c>
      <c r="AA26" s="51">
        <v>613.1544027</v>
      </c>
      <c r="AC26" s="52"/>
    </row>
    <row r="27">
      <c r="A27" s="50">
        <v>45987.0</v>
      </c>
      <c r="B27" s="51">
        <v>62334.0</v>
      </c>
      <c r="C27" s="51">
        <v>103.0</v>
      </c>
      <c r="D27" s="51">
        <v>0.165238874</v>
      </c>
      <c r="E27" s="51">
        <v>18.39301184</v>
      </c>
      <c r="F27" s="51">
        <v>523.9417476</v>
      </c>
      <c r="G27" s="51">
        <v>53966.0</v>
      </c>
      <c r="H27" s="51">
        <v>6.0</v>
      </c>
      <c r="I27" s="51">
        <v>8994.0</v>
      </c>
      <c r="J27" s="51">
        <v>318800.0</v>
      </c>
      <c r="K27" s="51">
        <v>5.825242718</v>
      </c>
      <c r="L27" s="51">
        <v>590.7423192</v>
      </c>
      <c r="M27" s="51">
        <v>5.0</v>
      </c>
      <c r="N27" s="51">
        <v>4.854368932</v>
      </c>
      <c r="O27" s="51">
        <v>199800.0</v>
      </c>
      <c r="P27" s="51">
        <v>10793.0</v>
      </c>
      <c r="Q27" s="51">
        <v>370.2331097</v>
      </c>
      <c r="R27" s="51">
        <v>1.0</v>
      </c>
      <c r="S27" s="51">
        <v>0.970873786</v>
      </c>
      <c r="T27" s="51">
        <v>119000.0</v>
      </c>
      <c r="U27" s="51">
        <v>53966.0</v>
      </c>
      <c r="V27" s="51">
        <v>220.5092095</v>
      </c>
      <c r="W27" s="51">
        <v>16.0</v>
      </c>
      <c r="X27" s="51">
        <v>15.53398058</v>
      </c>
      <c r="Y27" s="51">
        <v>737700.0</v>
      </c>
      <c r="Z27" s="51">
        <v>3372.0</v>
      </c>
      <c r="AA27" s="51">
        <v>1366.971797</v>
      </c>
      <c r="AC27" s="53"/>
    </row>
    <row r="28">
      <c r="A28" s="50">
        <v>45988.0</v>
      </c>
      <c r="B28" s="51">
        <v>47443.0</v>
      </c>
      <c r="C28" s="51">
        <v>116.0</v>
      </c>
      <c r="D28" s="51">
        <v>0.244503931</v>
      </c>
      <c r="E28" s="51">
        <v>17.90713066</v>
      </c>
      <c r="F28" s="51">
        <v>582.9051724</v>
      </c>
      <c r="G28" s="51">
        <v>67617.0</v>
      </c>
      <c r="H28" s="51">
        <v>7.0</v>
      </c>
      <c r="I28" s="51">
        <v>9659.0</v>
      </c>
      <c r="J28" s="51">
        <v>393800.0</v>
      </c>
      <c r="K28" s="51">
        <v>6.034482759</v>
      </c>
      <c r="L28" s="51">
        <v>582.3979177</v>
      </c>
      <c r="M28" s="51">
        <v>6.0</v>
      </c>
      <c r="N28" s="51">
        <v>5.172413793</v>
      </c>
      <c r="O28" s="51">
        <v>328800.0</v>
      </c>
      <c r="P28" s="51">
        <v>11269.0</v>
      </c>
      <c r="Q28" s="51">
        <v>486.2682462</v>
      </c>
      <c r="R28" s="51">
        <v>1.0</v>
      </c>
      <c r="S28" s="51">
        <v>0.862068966</v>
      </c>
      <c r="T28" s="51">
        <v>65000.0</v>
      </c>
      <c r="U28" s="51">
        <v>67617.0</v>
      </c>
      <c r="V28" s="51">
        <v>96.12967153</v>
      </c>
      <c r="W28" s="51">
        <v>10.0</v>
      </c>
      <c r="X28" s="51">
        <v>8.620689655</v>
      </c>
      <c r="Y28" s="51">
        <v>563300.0</v>
      </c>
      <c r="Z28" s="51">
        <v>6761.0</v>
      </c>
      <c r="AA28" s="51">
        <v>833.0745227</v>
      </c>
      <c r="AC28" s="52"/>
    </row>
    <row r="29">
      <c r="A29" s="50">
        <v>45989.0</v>
      </c>
      <c r="B29" s="51">
        <v>49407.0</v>
      </c>
      <c r="C29" s="51">
        <v>119.0</v>
      </c>
      <c r="D29" s="51">
        <v>0.240856559</v>
      </c>
      <c r="E29" s="51">
        <v>16.75102718</v>
      </c>
      <c r="F29" s="51">
        <v>621.4537815</v>
      </c>
      <c r="G29" s="51">
        <v>73953.0</v>
      </c>
      <c r="H29" s="51">
        <v>7.0</v>
      </c>
      <c r="I29" s="51">
        <v>10564.0</v>
      </c>
      <c r="J29" s="51">
        <v>472000.0</v>
      </c>
      <c r="K29" s="51">
        <v>5.882352941</v>
      </c>
      <c r="L29" s="51">
        <v>638.2432085</v>
      </c>
      <c r="M29" s="51">
        <v>6.0</v>
      </c>
      <c r="N29" s="51">
        <v>5.042016807</v>
      </c>
      <c r="O29" s="51">
        <v>363000.0</v>
      </c>
      <c r="P29" s="51">
        <v>12325.0</v>
      </c>
      <c r="Q29" s="51">
        <v>490.8522981</v>
      </c>
      <c r="R29" s="51">
        <v>1.0</v>
      </c>
      <c r="S29" s="51">
        <v>0.840336134</v>
      </c>
      <c r="T29" s="51">
        <v>109000.0</v>
      </c>
      <c r="U29" s="51">
        <v>73953.0</v>
      </c>
      <c r="V29" s="51">
        <v>147.3909104</v>
      </c>
      <c r="W29" s="51">
        <v>13.0</v>
      </c>
      <c r="X29" s="51">
        <v>10.92436975</v>
      </c>
      <c r="Y29" s="51">
        <v>1189600.0</v>
      </c>
      <c r="Z29" s="51">
        <v>5688.0</v>
      </c>
      <c r="AA29" s="51">
        <v>1608.589239</v>
      </c>
      <c r="AC29" s="52"/>
    </row>
    <row r="30">
      <c r="A30" s="50">
        <v>45990.0</v>
      </c>
      <c r="B30" s="51">
        <v>42151.0</v>
      </c>
      <c r="C30" s="51">
        <v>105.0</v>
      </c>
      <c r="D30" s="51">
        <v>0.24910441</v>
      </c>
      <c r="E30" s="51">
        <v>12.69419468</v>
      </c>
      <c r="F30" s="51">
        <v>534.1809524</v>
      </c>
      <c r="G30" s="51">
        <v>56089.0</v>
      </c>
      <c r="H30" s="51">
        <v>9.0</v>
      </c>
      <c r="I30" s="51">
        <v>6232.0</v>
      </c>
      <c r="J30" s="51">
        <v>765700.0</v>
      </c>
      <c r="K30" s="51">
        <v>8.571428571</v>
      </c>
      <c r="L30" s="51">
        <v>1365.151812</v>
      </c>
      <c r="M30" s="51">
        <v>9.0</v>
      </c>
      <c r="N30" s="51">
        <v>8.571428571</v>
      </c>
      <c r="O30" s="51">
        <v>765700.0</v>
      </c>
      <c r="P30" s="51">
        <v>6232.0</v>
      </c>
      <c r="Q30" s="51">
        <v>1365.151812</v>
      </c>
      <c r="R30" s="51" t="s">
        <v>1949</v>
      </c>
      <c r="S30" s="51" t="s">
        <v>1949</v>
      </c>
      <c r="T30" s="51" t="s">
        <v>1949</v>
      </c>
      <c r="U30" s="51" t="s">
        <v>1949</v>
      </c>
      <c r="V30" s="51" t="s">
        <v>1949</v>
      </c>
      <c r="W30" s="51">
        <v>8.0</v>
      </c>
      <c r="X30" s="51">
        <v>7.619047619</v>
      </c>
      <c r="Y30" s="51">
        <v>657800.0</v>
      </c>
      <c r="Z30" s="51">
        <v>7011.0</v>
      </c>
      <c r="AA30" s="51">
        <v>1172.778976</v>
      </c>
      <c r="AC30" s="52"/>
    </row>
    <row r="31">
      <c r="A31" s="50">
        <v>45991.0</v>
      </c>
      <c r="B31" s="51">
        <v>55505.0</v>
      </c>
      <c r="C31" s="51">
        <v>127.0</v>
      </c>
      <c r="D31" s="51">
        <v>0.228808215</v>
      </c>
      <c r="E31" s="51">
        <v>11.70611657</v>
      </c>
      <c r="F31" s="51">
        <v>585.4251969</v>
      </c>
      <c r="G31" s="51">
        <v>74349.0</v>
      </c>
      <c r="H31" s="51">
        <v>5.0</v>
      </c>
      <c r="I31" s="51">
        <v>14869.0</v>
      </c>
      <c r="J31" s="51">
        <v>498000.0</v>
      </c>
      <c r="K31" s="51">
        <v>3.937007874</v>
      </c>
      <c r="L31" s="51">
        <v>669.8139854</v>
      </c>
      <c r="M31" s="51">
        <v>5.0</v>
      </c>
      <c r="N31" s="51">
        <v>3.937007874</v>
      </c>
      <c r="O31" s="51">
        <v>498000.0</v>
      </c>
      <c r="P31" s="51">
        <v>14869.0</v>
      </c>
      <c r="Q31" s="51">
        <v>669.8139854</v>
      </c>
      <c r="R31" s="51" t="s">
        <v>1949</v>
      </c>
      <c r="S31" s="51" t="s">
        <v>1949</v>
      </c>
      <c r="T31" s="51" t="s">
        <v>1949</v>
      </c>
      <c r="U31" s="51" t="s">
        <v>1949</v>
      </c>
      <c r="V31" s="51" t="s">
        <v>1949</v>
      </c>
      <c r="W31" s="51">
        <v>8.0</v>
      </c>
      <c r="X31" s="51">
        <v>6.299212598</v>
      </c>
      <c r="Y31" s="51">
        <v>687800.0</v>
      </c>
      <c r="Z31" s="51">
        <v>9293.0</v>
      </c>
      <c r="AA31" s="51">
        <v>925.0965043</v>
      </c>
      <c r="AC31" s="52"/>
    </row>
    <row r="32">
      <c r="A32" s="50">
        <v>45962.0</v>
      </c>
      <c r="B32" s="51">
        <v>4111.0</v>
      </c>
      <c r="C32" s="51">
        <v>20.0</v>
      </c>
      <c r="D32" s="51">
        <v>0.486499635</v>
      </c>
      <c r="E32" s="51">
        <v>7.634152274</v>
      </c>
      <c r="F32" s="51">
        <v>516.45</v>
      </c>
      <c r="G32" s="51">
        <v>10329.0</v>
      </c>
      <c r="H32" s="51">
        <v>2.0</v>
      </c>
      <c r="I32" s="51">
        <v>5164.0</v>
      </c>
      <c r="J32" s="51">
        <v>58000.0</v>
      </c>
      <c r="K32" s="51">
        <v>10.0</v>
      </c>
      <c r="L32" s="51">
        <v>561.5258011</v>
      </c>
      <c r="M32" s="51">
        <v>2.0</v>
      </c>
      <c r="N32" s="51">
        <v>10.0</v>
      </c>
      <c r="O32" s="51">
        <v>58000.0</v>
      </c>
      <c r="P32" s="51">
        <v>5164.0</v>
      </c>
      <c r="Q32" s="51">
        <v>561.5258011</v>
      </c>
      <c r="R32" s="51" t="s">
        <v>1949</v>
      </c>
      <c r="S32" s="51" t="s">
        <v>1949</v>
      </c>
      <c r="T32" s="51" t="s">
        <v>1949</v>
      </c>
      <c r="U32" s="51" t="s">
        <v>1949</v>
      </c>
      <c r="V32" s="51" t="s">
        <v>1949</v>
      </c>
      <c r="W32" s="51">
        <v>1.0</v>
      </c>
      <c r="X32" s="51">
        <v>5.0</v>
      </c>
      <c r="Y32" s="51">
        <v>109000.0</v>
      </c>
      <c r="Z32" s="51">
        <v>10329.0</v>
      </c>
      <c r="AA32" s="51">
        <v>1055.281247</v>
      </c>
      <c r="AC32" s="52"/>
    </row>
    <row r="33">
      <c r="A33" s="50">
        <v>45963.0</v>
      </c>
      <c r="B33" s="51">
        <v>3815.0</v>
      </c>
      <c r="C33" s="51">
        <v>18.0</v>
      </c>
      <c r="D33" s="51">
        <v>0.471821756</v>
      </c>
      <c r="E33" s="51">
        <v>7.316644823</v>
      </c>
      <c r="F33" s="51">
        <v>592.1666667</v>
      </c>
      <c r="G33" s="51">
        <v>10659.0</v>
      </c>
      <c r="H33" s="51">
        <v>2.0</v>
      </c>
      <c r="I33" s="51">
        <v>5329.0</v>
      </c>
      <c r="J33" s="51">
        <v>228000.0</v>
      </c>
      <c r="K33" s="51">
        <v>11.11111111</v>
      </c>
      <c r="L33" s="51">
        <v>2139.037433</v>
      </c>
      <c r="M33" s="51">
        <v>1.0</v>
      </c>
      <c r="N33" s="51">
        <v>5.555555556</v>
      </c>
      <c r="O33" s="51">
        <v>109000.0</v>
      </c>
      <c r="P33" s="51">
        <v>10659.0</v>
      </c>
      <c r="Q33" s="51">
        <v>1022.610001</v>
      </c>
      <c r="R33" s="51">
        <v>1.0</v>
      </c>
      <c r="S33" s="51">
        <v>5.555555556</v>
      </c>
      <c r="T33" s="51">
        <v>119000.0</v>
      </c>
      <c r="U33" s="51">
        <v>10659.0</v>
      </c>
      <c r="V33" s="51">
        <v>1116.427432</v>
      </c>
      <c r="W33" s="51" t="s">
        <v>1949</v>
      </c>
      <c r="X33" s="51" t="s">
        <v>1949</v>
      </c>
      <c r="Y33" s="51" t="s">
        <v>1949</v>
      </c>
      <c r="Z33" s="51" t="s">
        <v>1949</v>
      </c>
      <c r="AA33" s="51" t="s">
        <v>1949</v>
      </c>
      <c r="AB33" s="52"/>
      <c r="AC33" s="53"/>
    </row>
    <row r="34">
      <c r="A34" s="50">
        <v>45964.0</v>
      </c>
      <c r="B34" s="51">
        <v>5308.0</v>
      </c>
      <c r="C34" s="51">
        <v>17.0</v>
      </c>
      <c r="D34" s="51">
        <v>0.320271289</v>
      </c>
      <c r="E34" s="51">
        <v>7.346458176</v>
      </c>
      <c r="F34" s="51">
        <v>609.5294118</v>
      </c>
      <c r="G34" s="51">
        <v>10362.0</v>
      </c>
      <c r="H34" s="51">
        <v>1.0</v>
      </c>
      <c r="I34" s="51">
        <v>10362.0</v>
      </c>
      <c r="J34" s="51">
        <v>119000.0</v>
      </c>
      <c r="K34" s="51">
        <v>5.882352941</v>
      </c>
      <c r="L34" s="51">
        <v>1148.426945</v>
      </c>
      <c r="M34" s="51" t="s">
        <v>1949</v>
      </c>
      <c r="N34" s="51" t="s">
        <v>1949</v>
      </c>
      <c r="O34" s="51" t="s">
        <v>1949</v>
      </c>
      <c r="P34" s="51" t="s">
        <v>1949</v>
      </c>
      <c r="Q34" s="51" t="s">
        <v>1949</v>
      </c>
      <c r="R34" s="51">
        <v>1.0</v>
      </c>
      <c r="S34" s="51">
        <v>5.882352941</v>
      </c>
      <c r="T34" s="51">
        <v>119000.0</v>
      </c>
      <c r="U34" s="51">
        <v>10362.0</v>
      </c>
      <c r="V34" s="51">
        <v>1148.426945</v>
      </c>
      <c r="W34" s="51">
        <v>1.0</v>
      </c>
      <c r="X34" s="51">
        <v>5.882352941</v>
      </c>
      <c r="Y34" s="51">
        <v>29800.0</v>
      </c>
      <c r="Z34" s="51">
        <v>10362.0</v>
      </c>
      <c r="AA34" s="51">
        <v>287.5892685</v>
      </c>
      <c r="AC34" s="52"/>
    </row>
    <row r="35">
      <c r="A35" s="50">
        <v>45965.0</v>
      </c>
      <c r="B35" s="51">
        <v>11214.0</v>
      </c>
      <c r="C35" s="51">
        <v>30.0</v>
      </c>
      <c r="D35" s="51">
        <v>0.267522739</v>
      </c>
      <c r="E35" s="51">
        <v>8.4733369</v>
      </c>
      <c r="F35" s="51">
        <v>341.0</v>
      </c>
      <c r="G35" s="51">
        <v>10230.0</v>
      </c>
      <c r="H35" s="51">
        <v>1.0</v>
      </c>
      <c r="I35" s="51">
        <v>10230.0</v>
      </c>
      <c r="J35" s="51">
        <v>19900.0</v>
      </c>
      <c r="K35" s="51">
        <v>3.333333333</v>
      </c>
      <c r="L35" s="51">
        <v>194.5259042</v>
      </c>
      <c r="M35" s="51" t="s">
        <v>1949</v>
      </c>
      <c r="N35" s="51" t="s">
        <v>1949</v>
      </c>
      <c r="O35" s="51" t="s">
        <v>1949</v>
      </c>
      <c r="P35" s="51" t="s">
        <v>1949</v>
      </c>
      <c r="Q35" s="51" t="s">
        <v>1949</v>
      </c>
      <c r="R35" s="51">
        <v>1.0</v>
      </c>
      <c r="S35" s="51">
        <v>3.333333333</v>
      </c>
      <c r="T35" s="51">
        <v>19900.0</v>
      </c>
      <c r="U35" s="51">
        <v>10230.0</v>
      </c>
      <c r="V35" s="51">
        <v>194.5259042</v>
      </c>
      <c r="W35" s="51">
        <v>2.0</v>
      </c>
      <c r="X35" s="51">
        <v>6.666666667</v>
      </c>
      <c r="Y35" s="51">
        <v>61900.0</v>
      </c>
      <c r="Z35" s="51">
        <v>5115.0</v>
      </c>
      <c r="AA35" s="51">
        <v>605.083089</v>
      </c>
      <c r="AC35" s="53"/>
    </row>
    <row r="36">
      <c r="A36" s="50">
        <v>45966.0</v>
      </c>
      <c r="B36" s="51">
        <v>9652.0</v>
      </c>
      <c r="C36" s="51">
        <v>28.0</v>
      </c>
      <c r="D36" s="51">
        <v>0.290095317</v>
      </c>
      <c r="E36" s="51">
        <v>10.12836718</v>
      </c>
      <c r="F36" s="51">
        <v>326.8571429</v>
      </c>
      <c r="G36" s="51">
        <v>9152.0</v>
      </c>
      <c r="H36" s="51">
        <v>2.0</v>
      </c>
      <c r="I36" s="51">
        <v>4576.0</v>
      </c>
      <c r="J36" s="51">
        <v>174000.0</v>
      </c>
      <c r="K36" s="51">
        <v>7.142857143</v>
      </c>
      <c r="L36" s="51">
        <v>1901.223776</v>
      </c>
      <c r="M36" s="51">
        <v>1.0</v>
      </c>
      <c r="N36" s="51">
        <v>3.571428571</v>
      </c>
      <c r="O36" s="51">
        <v>29000.0</v>
      </c>
      <c r="P36" s="51">
        <v>9152.0</v>
      </c>
      <c r="Q36" s="51">
        <v>316.8706294</v>
      </c>
      <c r="R36" s="51">
        <v>1.0</v>
      </c>
      <c r="S36" s="51">
        <v>3.571428571</v>
      </c>
      <c r="T36" s="51">
        <v>145000.0</v>
      </c>
      <c r="U36" s="51">
        <v>9152.0</v>
      </c>
      <c r="V36" s="51">
        <v>1584.353147</v>
      </c>
      <c r="W36" s="51" t="s">
        <v>1949</v>
      </c>
      <c r="X36" s="51" t="s">
        <v>1949</v>
      </c>
      <c r="Y36" s="51" t="s">
        <v>1949</v>
      </c>
      <c r="Z36" s="51" t="s">
        <v>1949</v>
      </c>
      <c r="AA36" s="51" t="s">
        <v>1949</v>
      </c>
      <c r="AB36" s="53"/>
      <c r="AC36" s="54"/>
    </row>
    <row r="37">
      <c r="A37" s="50">
        <v>45967.0</v>
      </c>
      <c r="B37" s="51">
        <v>10392.0</v>
      </c>
      <c r="C37" s="51">
        <v>24.0</v>
      </c>
      <c r="D37" s="51">
        <v>0.230946882</v>
      </c>
      <c r="E37" s="51">
        <v>10.5728445</v>
      </c>
      <c r="F37" s="51">
        <v>423.5</v>
      </c>
      <c r="G37" s="51">
        <v>10164.0</v>
      </c>
      <c r="H37" s="51" t="s">
        <v>1949</v>
      </c>
      <c r="I37" s="51" t="s">
        <v>1949</v>
      </c>
      <c r="J37" s="51" t="s">
        <v>1949</v>
      </c>
      <c r="K37" s="51" t="s">
        <v>1949</v>
      </c>
      <c r="L37" s="51" t="s">
        <v>1949</v>
      </c>
      <c r="M37" s="51" t="s">
        <v>1949</v>
      </c>
      <c r="N37" s="51" t="s">
        <v>1949</v>
      </c>
      <c r="O37" s="51" t="s">
        <v>1949</v>
      </c>
      <c r="P37" s="51" t="s">
        <v>1949</v>
      </c>
      <c r="Q37" s="51" t="s">
        <v>1949</v>
      </c>
      <c r="R37" s="51" t="s">
        <v>1949</v>
      </c>
      <c r="S37" s="51" t="s">
        <v>1949</v>
      </c>
      <c r="T37" s="51" t="s">
        <v>1949</v>
      </c>
      <c r="U37" s="51" t="s">
        <v>1949</v>
      </c>
      <c r="V37" s="51" t="s">
        <v>1949</v>
      </c>
      <c r="W37" s="51">
        <v>2.0</v>
      </c>
      <c r="X37" s="51">
        <v>8.333333333</v>
      </c>
      <c r="Y37" s="51">
        <v>100000.0</v>
      </c>
      <c r="Z37" s="51">
        <v>5082.0</v>
      </c>
      <c r="AA37" s="51">
        <v>983.8646202</v>
      </c>
      <c r="AC37" s="54"/>
    </row>
    <row r="38">
      <c r="A38" s="50">
        <v>45968.0</v>
      </c>
      <c r="B38" s="51">
        <v>5677.0</v>
      </c>
      <c r="C38" s="51">
        <v>25.0</v>
      </c>
      <c r="D38" s="51">
        <v>0.440373437</v>
      </c>
      <c r="E38" s="51">
        <v>10.21349304</v>
      </c>
      <c r="F38" s="51">
        <v>410.08</v>
      </c>
      <c r="G38" s="51">
        <v>10252.0</v>
      </c>
      <c r="H38" s="51" t="s">
        <v>1949</v>
      </c>
      <c r="I38" s="51" t="s">
        <v>1949</v>
      </c>
      <c r="J38" s="51" t="s">
        <v>1949</v>
      </c>
      <c r="K38" s="51" t="s">
        <v>1949</v>
      </c>
      <c r="L38" s="51" t="s">
        <v>1949</v>
      </c>
      <c r="M38" s="51" t="s">
        <v>1949</v>
      </c>
      <c r="N38" s="51" t="s">
        <v>1949</v>
      </c>
      <c r="O38" s="51" t="s">
        <v>1949</v>
      </c>
      <c r="P38" s="51" t="s">
        <v>1949</v>
      </c>
      <c r="Q38" s="51" t="s">
        <v>1949</v>
      </c>
      <c r="R38" s="51" t="s">
        <v>1949</v>
      </c>
      <c r="S38" s="51" t="s">
        <v>1949</v>
      </c>
      <c r="T38" s="51" t="s">
        <v>1949</v>
      </c>
      <c r="U38" s="51" t="s">
        <v>1949</v>
      </c>
      <c r="V38" s="51" t="s">
        <v>1949</v>
      </c>
      <c r="W38" s="51">
        <v>2.0</v>
      </c>
      <c r="X38" s="51">
        <v>8.0</v>
      </c>
      <c r="Y38" s="51">
        <v>49700.0</v>
      </c>
      <c r="Z38" s="51">
        <v>5126.0</v>
      </c>
      <c r="AA38" s="51">
        <v>484.7834569</v>
      </c>
      <c r="AC38" s="54"/>
    </row>
    <row r="39">
      <c r="A39" s="50">
        <v>45969.0</v>
      </c>
      <c r="B39" s="51">
        <v>5012.0</v>
      </c>
      <c r="C39" s="51">
        <v>25.0</v>
      </c>
      <c r="D39" s="51">
        <v>0.498802873</v>
      </c>
      <c r="E39" s="51">
        <v>10.63367917</v>
      </c>
      <c r="F39" s="51">
        <v>405.24</v>
      </c>
      <c r="G39" s="51">
        <v>10131.0</v>
      </c>
      <c r="H39" s="51">
        <v>1.0</v>
      </c>
      <c r="I39" s="51">
        <v>10131.0</v>
      </c>
      <c r="J39" s="51">
        <v>119000.0</v>
      </c>
      <c r="K39" s="51">
        <v>4.0</v>
      </c>
      <c r="L39" s="51">
        <v>1174.612575</v>
      </c>
      <c r="M39" s="51" t="s">
        <v>1949</v>
      </c>
      <c r="N39" s="51" t="s">
        <v>1949</v>
      </c>
      <c r="O39" s="51" t="s">
        <v>1949</v>
      </c>
      <c r="P39" s="51" t="s">
        <v>1949</v>
      </c>
      <c r="Q39" s="51" t="s">
        <v>1949</v>
      </c>
      <c r="R39" s="51">
        <v>1.0</v>
      </c>
      <c r="S39" s="51">
        <v>4.0</v>
      </c>
      <c r="T39" s="51">
        <v>119000.0</v>
      </c>
      <c r="U39" s="51">
        <v>10131.0</v>
      </c>
      <c r="V39" s="51">
        <v>1174.612575</v>
      </c>
      <c r="W39" s="51" t="s">
        <v>1949</v>
      </c>
      <c r="X39" s="51" t="s">
        <v>1949</v>
      </c>
      <c r="Y39" s="51" t="s">
        <v>1949</v>
      </c>
      <c r="Z39" s="51" t="s">
        <v>1949</v>
      </c>
      <c r="AA39" s="51" t="s">
        <v>1949</v>
      </c>
      <c r="AB39" s="52"/>
      <c r="AC39" s="54"/>
    </row>
    <row r="40">
      <c r="A40" s="50">
        <v>45970.0</v>
      </c>
      <c r="B40" s="51">
        <v>7652.0</v>
      </c>
      <c r="C40" s="51">
        <v>26.0</v>
      </c>
      <c r="D40" s="51">
        <v>0.33978045</v>
      </c>
      <c r="E40" s="51">
        <v>10.95870361</v>
      </c>
      <c r="F40" s="51">
        <v>388.8076923</v>
      </c>
      <c r="G40" s="51">
        <v>10109.0</v>
      </c>
      <c r="H40" s="51">
        <v>1.0</v>
      </c>
      <c r="I40" s="51">
        <v>10109.0</v>
      </c>
      <c r="J40" s="51">
        <v>15000.0</v>
      </c>
      <c r="K40" s="51">
        <v>3.846153846</v>
      </c>
      <c r="L40" s="51">
        <v>148.3826293</v>
      </c>
      <c r="M40" s="51">
        <v>1.0</v>
      </c>
      <c r="N40" s="51">
        <v>3.846153846</v>
      </c>
      <c r="O40" s="51">
        <v>15000.0</v>
      </c>
      <c r="P40" s="51">
        <v>10109.0</v>
      </c>
      <c r="Q40" s="51">
        <v>148.3826293</v>
      </c>
      <c r="R40" s="51" t="s">
        <v>1949</v>
      </c>
      <c r="S40" s="51" t="s">
        <v>1949</v>
      </c>
      <c r="T40" s="51" t="s">
        <v>1949</v>
      </c>
      <c r="U40" s="51" t="s">
        <v>1949</v>
      </c>
      <c r="V40" s="51" t="s">
        <v>1949</v>
      </c>
      <c r="W40" s="51">
        <v>4.0</v>
      </c>
      <c r="X40" s="51">
        <v>15.38461538</v>
      </c>
      <c r="Y40" s="51">
        <v>182000.0</v>
      </c>
      <c r="Z40" s="51">
        <v>2527.0</v>
      </c>
      <c r="AA40" s="51">
        <v>1800.375903</v>
      </c>
      <c r="AC40" s="54"/>
    </row>
    <row r="41">
      <c r="A41" s="50">
        <v>45971.0</v>
      </c>
      <c r="B41" s="51">
        <v>7105.0</v>
      </c>
      <c r="C41" s="51">
        <v>23.0</v>
      </c>
      <c r="D41" s="51">
        <v>0.323715693</v>
      </c>
      <c r="E41" s="51">
        <v>9.846727657</v>
      </c>
      <c r="F41" s="51">
        <v>462.4782609</v>
      </c>
      <c r="G41" s="51">
        <v>10637.0</v>
      </c>
      <c r="H41" s="51">
        <v>2.0</v>
      </c>
      <c r="I41" s="51">
        <v>5318.0</v>
      </c>
      <c r="J41" s="51">
        <v>39800.0</v>
      </c>
      <c r="K41" s="51">
        <v>8.695652174</v>
      </c>
      <c r="L41" s="51">
        <v>374.1656482</v>
      </c>
      <c r="M41" s="51">
        <v>2.0</v>
      </c>
      <c r="N41" s="51">
        <v>8.695652174</v>
      </c>
      <c r="O41" s="51">
        <v>39800.0</v>
      </c>
      <c r="P41" s="51">
        <v>5318.0</v>
      </c>
      <c r="Q41" s="51">
        <v>374.1656482</v>
      </c>
      <c r="R41" s="51" t="s">
        <v>1949</v>
      </c>
      <c r="S41" s="51" t="s">
        <v>1949</v>
      </c>
      <c r="T41" s="51" t="s">
        <v>1949</v>
      </c>
      <c r="U41" s="51" t="s">
        <v>1949</v>
      </c>
      <c r="V41" s="51" t="s">
        <v>1949</v>
      </c>
      <c r="W41" s="51">
        <v>4.0</v>
      </c>
      <c r="X41" s="51">
        <v>17.39130435</v>
      </c>
      <c r="Y41" s="51">
        <v>279800.0</v>
      </c>
      <c r="Z41" s="51">
        <v>2659.0</v>
      </c>
      <c r="AA41" s="51">
        <v>2630.440914</v>
      </c>
      <c r="AC41" s="54"/>
    </row>
    <row r="42">
      <c r="A42" s="50">
        <v>45972.0</v>
      </c>
      <c r="B42" s="51">
        <v>12937.0</v>
      </c>
      <c r="C42" s="51">
        <v>30.0</v>
      </c>
      <c r="D42" s="51">
        <v>0.23189302</v>
      </c>
      <c r="E42" s="51">
        <v>9.402025199</v>
      </c>
      <c r="F42" s="51">
        <v>343.5666667</v>
      </c>
      <c r="G42" s="51">
        <v>10307.0</v>
      </c>
      <c r="H42" s="51">
        <v>3.0</v>
      </c>
      <c r="I42" s="51">
        <v>3435.0</v>
      </c>
      <c r="J42" s="51">
        <v>189000.0</v>
      </c>
      <c r="K42" s="51">
        <v>10.0</v>
      </c>
      <c r="L42" s="51">
        <v>1833.705249</v>
      </c>
      <c r="M42" s="51">
        <v>3.0</v>
      </c>
      <c r="N42" s="51">
        <v>10.0</v>
      </c>
      <c r="O42" s="51">
        <v>189000.0</v>
      </c>
      <c r="P42" s="51">
        <v>3435.0</v>
      </c>
      <c r="Q42" s="51">
        <v>1833.705249</v>
      </c>
      <c r="R42" s="51" t="s">
        <v>1949</v>
      </c>
      <c r="S42" s="51" t="s">
        <v>1949</v>
      </c>
      <c r="T42" s="51" t="s">
        <v>1949</v>
      </c>
      <c r="U42" s="51" t="s">
        <v>1949</v>
      </c>
      <c r="V42" s="51" t="s">
        <v>1949</v>
      </c>
      <c r="W42" s="51">
        <v>3.0</v>
      </c>
      <c r="X42" s="51">
        <v>10.0</v>
      </c>
      <c r="Y42" s="51">
        <v>207000.0</v>
      </c>
      <c r="Z42" s="51">
        <v>3435.0</v>
      </c>
      <c r="AA42" s="51">
        <v>2008.343844</v>
      </c>
      <c r="AC42" s="54"/>
    </row>
    <row r="43">
      <c r="A43" s="50">
        <v>45973.0</v>
      </c>
      <c r="B43" s="51">
        <v>13786.0</v>
      </c>
      <c r="C43" s="51">
        <v>15.0</v>
      </c>
      <c r="D43" s="51">
        <v>0.108806035</v>
      </c>
      <c r="E43" s="51">
        <v>10.11112723</v>
      </c>
      <c r="F43" s="51">
        <v>484.0</v>
      </c>
      <c r="G43" s="51">
        <v>7260.0</v>
      </c>
      <c r="H43" s="51">
        <v>1.0</v>
      </c>
      <c r="I43" s="51">
        <v>7260.0</v>
      </c>
      <c r="J43" s="51">
        <v>15000.0</v>
      </c>
      <c r="K43" s="51">
        <v>6.666666667</v>
      </c>
      <c r="L43" s="51">
        <v>206.6115702</v>
      </c>
      <c r="M43" s="51">
        <v>1.0</v>
      </c>
      <c r="N43" s="51">
        <v>6.666666667</v>
      </c>
      <c r="O43" s="51">
        <v>15000.0</v>
      </c>
      <c r="P43" s="51">
        <v>7260.0</v>
      </c>
      <c r="Q43" s="51">
        <v>206.6115702</v>
      </c>
      <c r="R43" s="51" t="s">
        <v>1949</v>
      </c>
      <c r="S43" s="51" t="s">
        <v>1949</v>
      </c>
      <c r="T43" s="51" t="s">
        <v>1949</v>
      </c>
      <c r="U43" s="51" t="s">
        <v>1949</v>
      </c>
      <c r="V43" s="51" t="s">
        <v>1949</v>
      </c>
      <c r="W43" s="51">
        <v>2.0</v>
      </c>
      <c r="X43" s="51">
        <v>13.33333333</v>
      </c>
      <c r="Y43" s="51">
        <v>49900.0</v>
      </c>
      <c r="Z43" s="51">
        <v>3630.0</v>
      </c>
      <c r="AA43" s="51">
        <v>687.3278237</v>
      </c>
      <c r="AC43" s="54"/>
    </row>
    <row r="44">
      <c r="A44" s="50">
        <v>45974.0</v>
      </c>
      <c r="B44" s="51">
        <v>12049.0</v>
      </c>
      <c r="C44" s="51">
        <v>17.0</v>
      </c>
      <c r="D44" s="51">
        <v>0.141090547</v>
      </c>
      <c r="E44" s="51">
        <v>6.076603868</v>
      </c>
      <c r="F44" s="51">
        <v>331.9411765</v>
      </c>
      <c r="G44" s="51">
        <v>5643.0</v>
      </c>
      <c r="H44" s="51" t="s">
        <v>1949</v>
      </c>
      <c r="I44" s="51" t="s">
        <v>1949</v>
      </c>
      <c r="J44" s="51" t="s">
        <v>1949</v>
      </c>
      <c r="K44" s="51" t="s">
        <v>1949</v>
      </c>
      <c r="L44" s="51" t="s">
        <v>1949</v>
      </c>
      <c r="M44" s="51" t="s">
        <v>1949</v>
      </c>
      <c r="N44" s="51" t="s">
        <v>1949</v>
      </c>
      <c r="O44" s="51" t="s">
        <v>1949</v>
      </c>
      <c r="P44" s="51" t="s">
        <v>1949</v>
      </c>
      <c r="Q44" s="51" t="s">
        <v>1949</v>
      </c>
      <c r="R44" s="51" t="s">
        <v>1949</v>
      </c>
      <c r="S44" s="51" t="s">
        <v>1949</v>
      </c>
      <c r="T44" s="51" t="s">
        <v>1949</v>
      </c>
      <c r="U44" s="51" t="s">
        <v>1949</v>
      </c>
      <c r="V44" s="51" t="s">
        <v>1949</v>
      </c>
      <c r="W44" s="51">
        <v>1.0</v>
      </c>
      <c r="X44" s="51">
        <v>5.882352941</v>
      </c>
      <c r="Y44" s="51">
        <v>29000.0</v>
      </c>
      <c r="Z44" s="51">
        <v>5643.0</v>
      </c>
      <c r="AA44" s="51">
        <v>513.9110402</v>
      </c>
      <c r="AC44" s="54"/>
    </row>
    <row r="45">
      <c r="A45" s="50">
        <v>45975.0</v>
      </c>
      <c r="B45" s="51">
        <v>4530.0</v>
      </c>
      <c r="C45" s="51">
        <v>22.0</v>
      </c>
      <c r="D45" s="51">
        <v>0.485651214</v>
      </c>
      <c r="E45" s="51">
        <v>11.49227373</v>
      </c>
      <c r="F45" s="51">
        <v>325.5</v>
      </c>
      <c r="G45" s="51">
        <v>7161.0</v>
      </c>
      <c r="H45" s="51" t="s">
        <v>1949</v>
      </c>
      <c r="I45" s="51" t="s">
        <v>1949</v>
      </c>
      <c r="J45" s="51" t="s">
        <v>1949</v>
      </c>
      <c r="K45" s="51" t="s">
        <v>1949</v>
      </c>
      <c r="L45" s="51" t="s">
        <v>1949</v>
      </c>
      <c r="M45" s="51" t="s">
        <v>1949</v>
      </c>
      <c r="N45" s="51" t="s">
        <v>1949</v>
      </c>
      <c r="O45" s="51" t="s">
        <v>1949</v>
      </c>
      <c r="P45" s="51" t="s">
        <v>1949</v>
      </c>
      <c r="Q45" s="51" t="s">
        <v>1949</v>
      </c>
      <c r="R45" s="51" t="s">
        <v>1949</v>
      </c>
      <c r="S45" s="51" t="s">
        <v>1949</v>
      </c>
      <c r="T45" s="51" t="s">
        <v>1949</v>
      </c>
      <c r="U45" s="51" t="s">
        <v>1949</v>
      </c>
      <c r="V45" s="51" t="s">
        <v>1949</v>
      </c>
      <c r="W45" s="51" t="s">
        <v>1949</v>
      </c>
      <c r="X45" s="51" t="s">
        <v>1949</v>
      </c>
      <c r="Y45" s="51" t="s">
        <v>1949</v>
      </c>
      <c r="Z45" s="51" t="s">
        <v>1949</v>
      </c>
      <c r="AA45" s="51" t="s">
        <v>1949</v>
      </c>
      <c r="AB45" s="52"/>
      <c r="AC45" s="54"/>
    </row>
    <row r="46">
      <c r="A46" s="50">
        <v>45976.0</v>
      </c>
      <c r="B46" s="51">
        <v>4050.0</v>
      </c>
      <c r="C46" s="51">
        <v>7.0</v>
      </c>
      <c r="D46" s="51">
        <v>0.172839506</v>
      </c>
      <c r="E46" s="51">
        <v>8.453333333</v>
      </c>
      <c r="F46" s="51">
        <v>353.5714286</v>
      </c>
      <c r="G46" s="51">
        <v>2475.0</v>
      </c>
      <c r="H46" s="51" t="s">
        <v>1949</v>
      </c>
      <c r="I46" s="51" t="s">
        <v>1949</v>
      </c>
      <c r="J46" s="51" t="s">
        <v>1949</v>
      </c>
      <c r="K46" s="51" t="s">
        <v>1949</v>
      </c>
      <c r="L46" s="51" t="s">
        <v>1949</v>
      </c>
      <c r="M46" s="51" t="s">
        <v>1949</v>
      </c>
      <c r="N46" s="51" t="s">
        <v>1949</v>
      </c>
      <c r="O46" s="51" t="s">
        <v>1949</v>
      </c>
      <c r="P46" s="51" t="s">
        <v>1949</v>
      </c>
      <c r="Q46" s="51" t="s">
        <v>1949</v>
      </c>
      <c r="R46" s="51" t="s">
        <v>1949</v>
      </c>
      <c r="S46" s="51" t="s">
        <v>1949</v>
      </c>
      <c r="T46" s="51" t="s">
        <v>1949</v>
      </c>
      <c r="U46" s="51" t="s">
        <v>1949</v>
      </c>
      <c r="V46" s="51" t="s">
        <v>1949</v>
      </c>
      <c r="W46" s="51">
        <v>2.0</v>
      </c>
      <c r="X46" s="51">
        <v>28.57142857</v>
      </c>
      <c r="Y46" s="51">
        <v>38800.0</v>
      </c>
      <c r="Z46" s="51">
        <v>1237.0</v>
      </c>
      <c r="AA46" s="51">
        <v>1567.676768</v>
      </c>
      <c r="AC46" s="54"/>
    </row>
    <row r="47">
      <c r="A47" s="50">
        <v>45977.0</v>
      </c>
      <c r="B47" s="51">
        <v>6735.0</v>
      </c>
      <c r="C47" s="51">
        <v>14.0</v>
      </c>
      <c r="D47" s="51">
        <v>0.207869339</v>
      </c>
      <c r="E47" s="51">
        <v>5.390794358</v>
      </c>
      <c r="F47" s="51">
        <v>392.0714286</v>
      </c>
      <c r="G47" s="51">
        <v>5489.0</v>
      </c>
      <c r="H47" s="51">
        <v>1.0</v>
      </c>
      <c r="I47" s="51">
        <v>5489.0</v>
      </c>
      <c r="J47" s="51">
        <v>109000.0</v>
      </c>
      <c r="K47" s="51">
        <v>7.142857143</v>
      </c>
      <c r="L47" s="51">
        <v>1985.789761</v>
      </c>
      <c r="M47" s="51">
        <v>1.0</v>
      </c>
      <c r="N47" s="51">
        <v>7.142857143</v>
      </c>
      <c r="O47" s="51">
        <v>109000.0</v>
      </c>
      <c r="P47" s="51">
        <v>5489.0</v>
      </c>
      <c r="Q47" s="51">
        <v>1985.789761</v>
      </c>
      <c r="R47" s="51" t="s">
        <v>1949</v>
      </c>
      <c r="S47" s="51" t="s">
        <v>1949</v>
      </c>
      <c r="T47" s="51" t="s">
        <v>1949</v>
      </c>
      <c r="U47" s="51" t="s">
        <v>1949</v>
      </c>
      <c r="V47" s="51" t="s">
        <v>1949</v>
      </c>
      <c r="W47" s="51" t="s">
        <v>1949</v>
      </c>
      <c r="X47" s="51" t="s">
        <v>1949</v>
      </c>
      <c r="Y47" s="51" t="s">
        <v>1949</v>
      </c>
      <c r="Z47" s="51" t="s">
        <v>1949</v>
      </c>
      <c r="AA47" s="51" t="s">
        <v>1949</v>
      </c>
      <c r="AB47" s="53"/>
      <c r="AC47" s="54"/>
    </row>
    <row r="48">
      <c r="A48" s="50">
        <v>45978.0</v>
      </c>
      <c r="B48" s="51">
        <v>7418.0</v>
      </c>
      <c r="C48" s="51">
        <v>16.0</v>
      </c>
      <c r="D48" s="51">
        <v>0.215691561</v>
      </c>
      <c r="E48" s="51">
        <v>6.411162038</v>
      </c>
      <c r="F48" s="51">
        <v>499.125</v>
      </c>
      <c r="G48" s="51">
        <v>7986.0</v>
      </c>
      <c r="H48" s="51" t="s">
        <v>1949</v>
      </c>
      <c r="I48" s="51" t="s">
        <v>1949</v>
      </c>
      <c r="J48" s="51" t="s">
        <v>1949</v>
      </c>
      <c r="K48" s="51" t="s">
        <v>1949</v>
      </c>
      <c r="L48" s="51" t="s">
        <v>1949</v>
      </c>
      <c r="M48" s="51" t="s">
        <v>1949</v>
      </c>
      <c r="N48" s="51" t="s">
        <v>1949</v>
      </c>
      <c r="O48" s="51" t="s">
        <v>1949</v>
      </c>
      <c r="P48" s="51" t="s">
        <v>1949</v>
      </c>
      <c r="Q48" s="51" t="s">
        <v>1949</v>
      </c>
      <c r="R48" s="51" t="s">
        <v>1949</v>
      </c>
      <c r="S48" s="51" t="s">
        <v>1949</v>
      </c>
      <c r="T48" s="51" t="s">
        <v>1949</v>
      </c>
      <c r="U48" s="51" t="s">
        <v>1949</v>
      </c>
      <c r="V48" s="51" t="s">
        <v>1949</v>
      </c>
      <c r="W48" s="51">
        <v>6.0</v>
      </c>
      <c r="X48" s="51">
        <v>37.5</v>
      </c>
      <c r="Y48" s="51">
        <v>654000.0</v>
      </c>
      <c r="Z48" s="51">
        <v>1331.0</v>
      </c>
      <c r="AA48" s="51">
        <v>8189.33133</v>
      </c>
      <c r="AC48" s="54"/>
    </row>
    <row r="49">
      <c r="A49" s="50">
        <v>45979.0</v>
      </c>
      <c r="B49" s="51">
        <v>2760.0</v>
      </c>
      <c r="C49" s="51">
        <v>12.0</v>
      </c>
      <c r="D49" s="51">
        <v>0.434782609</v>
      </c>
      <c r="E49" s="51">
        <v>8.579710145</v>
      </c>
      <c r="F49" s="51">
        <v>628.8333333</v>
      </c>
      <c r="G49" s="51">
        <v>7546.0</v>
      </c>
      <c r="H49" s="51">
        <v>1.0</v>
      </c>
      <c r="I49" s="51">
        <v>7546.0</v>
      </c>
      <c r="J49" s="51">
        <v>9000.0</v>
      </c>
      <c r="K49" s="51">
        <v>8.333333333</v>
      </c>
      <c r="L49" s="51">
        <v>119.2684866</v>
      </c>
      <c r="M49" s="51">
        <v>1.0</v>
      </c>
      <c r="N49" s="51">
        <v>8.333333333</v>
      </c>
      <c r="O49" s="51">
        <v>9000.0</v>
      </c>
      <c r="P49" s="51">
        <v>7546.0</v>
      </c>
      <c r="Q49" s="51">
        <v>119.2684866</v>
      </c>
      <c r="R49" s="51" t="s">
        <v>1949</v>
      </c>
      <c r="S49" s="51" t="s">
        <v>1949</v>
      </c>
      <c r="T49" s="51" t="s">
        <v>1949</v>
      </c>
      <c r="U49" s="51" t="s">
        <v>1949</v>
      </c>
      <c r="V49" s="51" t="s">
        <v>1949</v>
      </c>
      <c r="W49" s="51" t="s">
        <v>1949</v>
      </c>
      <c r="X49" s="51" t="s">
        <v>1949</v>
      </c>
      <c r="Y49" s="51" t="s">
        <v>1949</v>
      </c>
      <c r="Z49" s="51" t="s">
        <v>1949</v>
      </c>
      <c r="AA49" s="51" t="s">
        <v>1949</v>
      </c>
      <c r="AB49" s="52"/>
      <c r="AC49" s="54"/>
    </row>
    <row r="50">
      <c r="A50" s="50">
        <v>45980.0</v>
      </c>
      <c r="B50" s="51">
        <v>3841.0</v>
      </c>
      <c r="C50" s="51">
        <v>12.0</v>
      </c>
      <c r="D50" s="51">
        <v>0.312418641</v>
      </c>
      <c r="E50" s="51">
        <v>7.577714137</v>
      </c>
      <c r="F50" s="51">
        <v>533.5</v>
      </c>
      <c r="G50" s="51">
        <v>6402.0</v>
      </c>
      <c r="H50" s="51" t="s">
        <v>1949</v>
      </c>
      <c r="I50" s="51" t="s">
        <v>1949</v>
      </c>
      <c r="J50" s="51" t="s">
        <v>1949</v>
      </c>
      <c r="K50" s="51" t="s">
        <v>1949</v>
      </c>
      <c r="L50" s="51" t="s">
        <v>1949</v>
      </c>
      <c r="M50" s="51" t="s">
        <v>1949</v>
      </c>
      <c r="N50" s="51" t="s">
        <v>1949</v>
      </c>
      <c r="O50" s="51" t="s">
        <v>1949</v>
      </c>
      <c r="P50" s="51" t="s">
        <v>1949</v>
      </c>
      <c r="Q50" s="51" t="s">
        <v>1949</v>
      </c>
      <c r="R50" s="51" t="s">
        <v>1949</v>
      </c>
      <c r="S50" s="51" t="s">
        <v>1949</v>
      </c>
      <c r="T50" s="51" t="s">
        <v>1949</v>
      </c>
      <c r="U50" s="51" t="s">
        <v>1949</v>
      </c>
      <c r="V50" s="51" t="s">
        <v>1949</v>
      </c>
      <c r="W50" s="51" t="s">
        <v>1949</v>
      </c>
      <c r="X50" s="51" t="s">
        <v>1949</v>
      </c>
      <c r="Y50" s="51" t="s">
        <v>1949</v>
      </c>
      <c r="Z50" s="51" t="s">
        <v>1949</v>
      </c>
      <c r="AA50" s="51" t="s">
        <v>1949</v>
      </c>
      <c r="AB50" s="52"/>
      <c r="AC50" s="54"/>
    </row>
    <row r="51">
      <c r="A51" s="50">
        <v>45981.0</v>
      </c>
      <c r="B51" s="51">
        <v>3559.0</v>
      </c>
      <c r="C51" s="51">
        <v>6.0</v>
      </c>
      <c r="D51" s="51">
        <v>0.168586682</v>
      </c>
      <c r="E51" s="51">
        <v>7.049171115</v>
      </c>
      <c r="F51" s="51">
        <v>511.5</v>
      </c>
      <c r="G51" s="51">
        <v>3069.0</v>
      </c>
      <c r="H51" s="51" t="s">
        <v>1949</v>
      </c>
      <c r="I51" s="51" t="s">
        <v>1949</v>
      </c>
      <c r="J51" s="51" t="s">
        <v>1949</v>
      </c>
      <c r="K51" s="51" t="s">
        <v>1949</v>
      </c>
      <c r="L51" s="51" t="s">
        <v>1949</v>
      </c>
      <c r="M51" s="51" t="s">
        <v>1949</v>
      </c>
      <c r="N51" s="51" t="s">
        <v>1949</v>
      </c>
      <c r="O51" s="51" t="s">
        <v>1949</v>
      </c>
      <c r="P51" s="51" t="s">
        <v>1949</v>
      </c>
      <c r="Q51" s="51" t="s">
        <v>1949</v>
      </c>
      <c r="R51" s="51" t="s">
        <v>1949</v>
      </c>
      <c r="S51" s="51" t="s">
        <v>1949</v>
      </c>
      <c r="T51" s="51" t="s">
        <v>1949</v>
      </c>
      <c r="U51" s="51" t="s">
        <v>1949</v>
      </c>
      <c r="V51" s="51" t="s">
        <v>1949</v>
      </c>
      <c r="W51" s="51" t="s">
        <v>1949</v>
      </c>
      <c r="X51" s="51" t="s">
        <v>1949</v>
      </c>
      <c r="Y51" s="51" t="s">
        <v>1949</v>
      </c>
      <c r="Z51" s="51" t="s">
        <v>1949</v>
      </c>
      <c r="AA51" s="51" t="s">
        <v>1949</v>
      </c>
      <c r="AB51" s="53"/>
      <c r="AC51" s="54"/>
    </row>
    <row r="52">
      <c r="A52" s="50">
        <v>45982.0</v>
      </c>
      <c r="B52" s="51">
        <v>3391.0</v>
      </c>
      <c r="C52" s="51">
        <v>10.0</v>
      </c>
      <c r="D52" s="51">
        <v>0.29489826</v>
      </c>
      <c r="E52" s="51">
        <v>10.31406665</v>
      </c>
      <c r="F52" s="51">
        <v>577.5</v>
      </c>
      <c r="G52" s="51">
        <v>5775.0</v>
      </c>
      <c r="H52" s="51" t="s">
        <v>1949</v>
      </c>
      <c r="I52" s="51" t="s">
        <v>1949</v>
      </c>
      <c r="J52" s="51" t="s">
        <v>1949</v>
      </c>
      <c r="K52" s="51" t="s">
        <v>1949</v>
      </c>
      <c r="L52" s="51" t="s">
        <v>1949</v>
      </c>
      <c r="M52" s="51" t="s">
        <v>1949</v>
      </c>
      <c r="N52" s="51" t="s">
        <v>1949</v>
      </c>
      <c r="O52" s="51" t="s">
        <v>1949</v>
      </c>
      <c r="P52" s="51" t="s">
        <v>1949</v>
      </c>
      <c r="Q52" s="51" t="s">
        <v>1949</v>
      </c>
      <c r="R52" s="51" t="s">
        <v>1949</v>
      </c>
      <c r="S52" s="51" t="s">
        <v>1949</v>
      </c>
      <c r="T52" s="51" t="s">
        <v>1949</v>
      </c>
      <c r="U52" s="51" t="s">
        <v>1949</v>
      </c>
      <c r="V52" s="51" t="s">
        <v>1949</v>
      </c>
      <c r="W52" s="51">
        <v>1.0</v>
      </c>
      <c r="X52" s="51">
        <v>10.0</v>
      </c>
      <c r="Y52" s="51">
        <v>8900.0</v>
      </c>
      <c r="Z52" s="51">
        <v>5775.0</v>
      </c>
      <c r="AA52" s="51">
        <v>154.1125541</v>
      </c>
      <c r="AC52" s="54"/>
    </row>
    <row r="53">
      <c r="A53" s="50">
        <v>45983.0</v>
      </c>
      <c r="B53" s="51">
        <v>2702.0</v>
      </c>
      <c r="C53" s="51">
        <v>12.0</v>
      </c>
      <c r="D53" s="51">
        <v>0.44411547</v>
      </c>
      <c r="E53" s="51">
        <v>6.982975574</v>
      </c>
      <c r="F53" s="51">
        <v>580.25</v>
      </c>
      <c r="G53" s="51">
        <v>6963.0</v>
      </c>
      <c r="H53" s="51">
        <v>2.0</v>
      </c>
      <c r="I53" s="51">
        <v>3481.0</v>
      </c>
      <c r="J53" s="51">
        <v>43900.0</v>
      </c>
      <c r="K53" s="51">
        <v>16.66666667</v>
      </c>
      <c r="L53" s="51">
        <v>630.4753698</v>
      </c>
      <c r="M53" s="51">
        <v>2.0</v>
      </c>
      <c r="N53" s="51">
        <v>16.66666667</v>
      </c>
      <c r="O53" s="51">
        <v>43900.0</v>
      </c>
      <c r="P53" s="51">
        <v>3481.0</v>
      </c>
      <c r="Q53" s="51">
        <v>630.4753698</v>
      </c>
      <c r="R53" s="51" t="s">
        <v>1949</v>
      </c>
      <c r="S53" s="51" t="s">
        <v>1949</v>
      </c>
      <c r="T53" s="51" t="s">
        <v>1949</v>
      </c>
      <c r="U53" s="51" t="s">
        <v>1949</v>
      </c>
      <c r="V53" s="51" t="s">
        <v>1949</v>
      </c>
      <c r="W53" s="51">
        <v>1.0</v>
      </c>
      <c r="X53" s="51">
        <v>8.333333333</v>
      </c>
      <c r="Y53" s="51">
        <v>35000.0</v>
      </c>
      <c r="Z53" s="51">
        <v>6963.0</v>
      </c>
      <c r="AA53" s="51">
        <v>502.6569008</v>
      </c>
      <c r="AC53" s="54"/>
    </row>
    <row r="54">
      <c r="A54" s="50">
        <v>45984.0</v>
      </c>
      <c r="B54" s="51">
        <v>2788.0</v>
      </c>
      <c r="C54" s="51">
        <v>10.0</v>
      </c>
      <c r="D54" s="51">
        <v>0.358680057</v>
      </c>
      <c r="E54" s="51">
        <v>7.454447633</v>
      </c>
      <c r="F54" s="51">
        <v>347.6</v>
      </c>
      <c r="G54" s="51">
        <v>3476.0</v>
      </c>
      <c r="H54" s="51">
        <v>1.0</v>
      </c>
      <c r="I54" s="51">
        <v>3476.0</v>
      </c>
      <c r="J54" s="51">
        <v>19900.0</v>
      </c>
      <c r="K54" s="51">
        <v>10.0</v>
      </c>
      <c r="L54" s="51">
        <v>572.4971231</v>
      </c>
      <c r="M54" s="51">
        <v>1.0</v>
      </c>
      <c r="N54" s="51">
        <v>10.0</v>
      </c>
      <c r="O54" s="51">
        <v>19900.0</v>
      </c>
      <c r="P54" s="51">
        <v>3476.0</v>
      </c>
      <c r="Q54" s="51">
        <v>572.4971231</v>
      </c>
      <c r="R54" s="51" t="s">
        <v>1949</v>
      </c>
      <c r="S54" s="51" t="s">
        <v>1949</v>
      </c>
      <c r="T54" s="51" t="s">
        <v>1949</v>
      </c>
      <c r="U54" s="51" t="s">
        <v>1949</v>
      </c>
      <c r="V54" s="51" t="s">
        <v>1949</v>
      </c>
      <c r="W54" s="51" t="s">
        <v>1949</v>
      </c>
      <c r="X54" s="51" t="s">
        <v>1949</v>
      </c>
      <c r="Y54" s="51" t="s">
        <v>1949</v>
      </c>
      <c r="Z54" s="51" t="s">
        <v>1949</v>
      </c>
      <c r="AA54" s="51" t="s">
        <v>1949</v>
      </c>
      <c r="AB54" s="52"/>
      <c r="AC54" s="54"/>
    </row>
    <row r="55">
      <c r="A55" s="50">
        <v>45985.0</v>
      </c>
      <c r="B55" s="51">
        <v>5542.0</v>
      </c>
      <c r="C55" s="51">
        <v>7.0</v>
      </c>
      <c r="D55" s="51">
        <v>0.126308192</v>
      </c>
      <c r="E55" s="51">
        <v>11.17971851</v>
      </c>
      <c r="F55" s="51">
        <v>686.7142857</v>
      </c>
      <c r="G55" s="51">
        <v>4807.0</v>
      </c>
      <c r="H55" s="51">
        <v>1.0</v>
      </c>
      <c r="I55" s="51">
        <v>4807.0</v>
      </c>
      <c r="J55" s="51">
        <v>35000.0</v>
      </c>
      <c r="K55" s="51">
        <v>14.28571429</v>
      </c>
      <c r="L55" s="51">
        <v>728.1048471</v>
      </c>
      <c r="M55" s="51">
        <v>1.0</v>
      </c>
      <c r="N55" s="51">
        <v>14.28571429</v>
      </c>
      <c r="O55" s="51">
        <v>35000.0</v>
      </c>
      <c r="P55" s="51">
        <v>4807.0</v>
      </c>
      <c r="Q55" s="51">
        <v>728.1048471</v>
      </c>
      <c r="R55" s="51" t="s">
        <v>1949</v>
      </c>
      <c r="S55" s="51" t="s">
        <v>1949</v>
      </c>
      <c r="T55" s="51" t="s">
        <v>1949</v>
      </c>
      <c r="U55" s="51" t="s">
        <v>1949</v>
      </c>
      <c r="V55" s="51" t="s">
        <v>1949</v>
      </c>
      <c r="W55" s="51">
        <v>1.0</v>
      </c>
      <c r="X55" s="51">
        <v>14.28571429</v>
      </c>
      <c r="Y55" s="51">
        <v>9900.0</v>
      </c>
      <c r="Z55" s="51">
        <v>4807.0</v>
      </c>
      <c r="AA55" s="51">
        <v>205.9496568</v>
      </c>
      <c r="AC55" s="54"/>
    </row>
    <row r="56">
      <c r="A56" s="50">
        <v>45986.0</v>
      </c>
      <c r="B56" s="51">
        <v>7620.0</v>
      </c>
      <c r="C56" s="51">
        <v>7.0</v>
      </c>
      <c r="D56" s="51">
        <v>0.0918635171</v>
      </c>
      <c r="E56" s="51">
        <v>13.0187664</v>
      </c>
      <c r="F56" s="51">
        <v>540.5714286</v>
      </c>
      <c r="G56" s="51">
        <v>3784.0</v>
      </c>
      <c r="H56" s="51" t="s">
        <v>1949</v>
      </c>
      <c r="I56" s="51" t="s">
        <v>1949</v>
      </c>
      <c r="J56" s="51" t="s">
        <v>1949</v>
      </c>
      <c r="K56" s="51" t="s">
        <v>1949</v>
      </c>
      <c r="L56" s="51" t="s">
        <v>1949</v>
      </c>
      <c r="M56" s="51" t="s">
        <v>1949</v>
      </c>
      <c r="N56" s="51" t="s">
        <v>1949</v>
      </c>
      <c r="O56" s="51" t="s">
        <v>1949</v>
      </c>
      <c r="P56" s="51" t="s">
        <v>1949</v>
      </c>
      <c r="Q56" s="51" t="s">
        <v>1949</v>
      </c>
      <c r="R56" s="51" t="s">
        <v>1949</v>
      </c>
      <c r="S56" s="51" t="s">
        <v>1949</v>
      </c>
      <c r="T56" s="51" t="s">
        <v>1949</v>
      </c>
      <c r="U56" s="51" t="s">
        <v>1949</v>
      </c>
      <c r="V56" s="51" t="s">
        <v>1949</v>
      </c>
      <c r="W56" s="51" t="s">
        <v>1949</v>
      </c>
      <c r="X56" s="51" t="s">
        <v>1949</v>
      </c>
      <c r="Y56" s="51" t="s">
        <v>1949</v>
      </c>
      <c r="Z56" s="51" t="s">
        <v>1949</v>
      </c>
      <c r="AA56" s="51" t="s">
        <v>1949</v>
      </c>
      <c r="AB56" s="53"/>
      <c r="AC56" s="54"/>
    </row>
    <row r="57">
      <c r="A57" s="50">
        <v>45987.0</v>
      </c>
      <c r="B57" s="51">
        <v>6851.0</v>
      </c>
      <c r="C57" s="51">
        <v>5.0</v>
      </c>
      <c r="D57" s="51">
        <v>0.0729820464</v>
      </c>
      <c r="E57" s="51">
        <v>13.91461101</v>
      </c>
      <c r="F57" s="51">
        <v>550.0</v>
      </c>
      <c r="G57" s="51">
        <v>2750.0</v>
      </c>
      <c r="H57" s="51" t="s">
        <v>1949</v>
      </c>
      <c r="I57" s="51" t="s">
        <v>1949</v>
      </c>
      <c r="J57" s="51" t="s">
        <v>1949</v>
      </c>
      <c r="K57" s="51" t="s">
        <v>1949</v>
      </c>
      <c r="L57" s="51" t="s">
        <v>1949</v>
      </c>
      <c r="M57" s="51" t="s">
        <v>1949</v>
      </c>
      <c r="N57" s="51" t="s">
        <v>1949</v>
      </c>
      <c r="O57" s="51" t="s">
        <v>1949</v>
      </c>
      <c r="P57" s="51" t="s">
        <v>1949</v>
      </c>
      <c r="Q57" s="51" t="s">
        <v>1949</v>
      </c>
      <c r="R57" s="51" t="s">
        <v>1949</v>
      </c>
      <c r="S57" s="51" t="s">
        <v>1949</v>
      </c>
      <c r="T57" s="51" t="s">
        <v>1949</v>
      </c>
      <c r="U57" s="51" t="s">
        <v>1949</v>
      </c>
      <c r="V57" s="51" t="s">
        <v>1949</v>
      </c>
      <c r="W57" s="51">
        <v>1.0</v>
      </c>
      <c r="X57" s="51">
        <v>20.0</v>
      </c>
      <c r="Y57" s="51">
        <v>19900.0</v>
      </c>
      <c r="Z57" s="51">
        <v>2750.0</v>
      </c>
      <c r="AA57" s="51">
        <v>723.6363636</v>
      </c>
      <c r="AC57" s="54"/>
    </row>
    <row r="58">
      <c r="A58" s="50">
        <v>45988.0</v>
      </c>
      <c r="B58" s="51">
        <v>4517.0</v>
      </c>
      <c r="C58" s="51">
        <v>6.0</v>
      </c>
      <c r="D58" s="51">
        <v>0.132831525</v>
      </c>
      <c r="E58" s="51">
        <v>10.90901041</v>
      </c>
      <c r="F58" s="51">
        <v>799.3333333</v>
      </c>
      <c r="G58" s="51">
        <v>4796.0</v>
      </c>
      <c r="H58" s="51">
        <v>1.0</v>
      </c>
      <c r="I58" s="51">
        <v>4796.0</v>
      </c>
      <c r="J58" s="51">
        <v>17800.0</v>
      </c>
      <c r="K58" s="51">
        <v>16.66666667</v>
      </c>
      <c r="L58" s="51">
        <v>371.1426188</v>
      </c>
      <c r="M58" s="51">
        <v>1.0</v>
      </c>
      <c r="N58" s="51">
        <v>16.66666667</v>
      </c>
      <c r="O58" s="51">
        <v>17800.0</v>
      </c>
      <c r="P58" s="51">
        <v>4796.0</v>
      </c>
      <c r="Q58" s="51">
        <v>371.1426188</v>
      </c>
      <c r="R58" s="51" t="s">
        <v>1949</v>
      </c>
      <c r="S58" s="51" t="s">
        <v>1949</v>
      </c>
      <c r="T58" s="51" t="s">
        <v>1949</v>
      </c>
      <c r="U58" s="51" t="s">
        <v>1949</v>
      </c>
      <c r="V58" s="51" t="s">
        <v>1949</v>
      </c>
      <c r="W58" s="51">
        <v>2.0</v>
      </c>
      <c r="X58" s="51">
        <v>33.33333333</v>
      </c>
      <c r="Y58" s="51">
        <v>18800.0</v>
      </c>
      <c r="Z58" s="51">
        <v>2398.0</v>
      </c>
      <c r="AA58" s="51">
        <v>391.9933278</v>
      </c>
      <c r="AC58" s="54"/>
    </row>
    <row r="59">
      <c r="A59" s="50">
        <v>45989.0</v>
      </c>
      <c r="B59" s="51">
        <v>4181.0</v>
      </c>
      <c r="C59" s="51">
        <v>6.0</v>
      </c>
      <c r="D59" s="51">
        <v>0.143506338</v>
      </c>
      <c r="E59" s="51">
        <v>11.21669457</v>
      </c>
      <c r="F59" s="51">
        <v>625.1666667</v>
      </c>
      <c r="G59" s="51">
        <v>3751.0</v>
      </c>
      <c r="H59" s="51" t="s">
        <v>1949</v>
      </c>
      <c r="I59" s="51" t="s">
        <v>1949</v>
      </c>
      <c r="J59" s="51" t="s">
        <v>1949</v>
      </c>
      <c r="K59" s="51" t="s">
        <v>1949</v>
      </c>
      <c r="L59" s="51" t="s">
        <v>1949</v>
      </c>
      <c r="M59" s="51" t="s">
        <v>1949</v>
      </c>
      <c r="N59" s="51" t="s">
        <v>1949</v>
      </c>
      <c r="O59" s="51" t="s">
        <v>1949</v>
      </c>
      <c r="P59" s="51" t="s">
        <v>1949</v>
      </c>
      <c r="Q59" s="51" t="s">
        <v>1949</v>
      </c>
      <c r="R59" s="51" t="s">
        <v>1949</v>
      </c>
      <c r="S59" s="51" t="s">
        <v>1949</v>
      </c>
      <c r="T59" s="51" t="s">
        <v>1949</v>
      </c>
      <c r="U59" s="51" t="s">
        <v>1949</v>
      </c>
      <c r="V59" s="51" t="s">
        <v>1949</v>
      </c>
      <c r="W59" s="51">
        <v>2.0</v>
      </c>
      <c r="X59" s="51">
        <v>33.33333333</v>
      </c>
      <c r="Y59" s="51">
        <v>54900.0</v>
      </c>
      <c r="Z59" s="51">
        <v>1875.0</v>
      </c>
      <c r="AA59" s="51">
        <v>1463.609704</v>
      </c>
      <c r="AC59" s="54"/>
    </row>
    <row r="60">
      <c r="A60" s="50">
        <v>45990.0</v>
      </c>
      <c r="B60" s="51">
        <v>2607.0</v>
      </c>
      <c r="C60" s="51">
        <v>7.0</v>
      </c>
      <c r="D60" s="51">
        <v>0.268507863</v>
      </c>
      <c r="E60" s="51">
        <v>8.452627541</v>
      </c>
      <c r="F60" s="51">
        <v>413.2857143</v>
      </c>
      <c r="G60" s="51">
        <v>2893.0</v>
      </c>
      <c r="H60" s="51" t="s">
        <v>1949</v>
      </c>
      <c r="I60" s="51" t="s">
        <v>1949</v>
      </c>
      <c r="J60" s="51" t="s">
        <v>1949</v>
      </c>
      <c r="K60" s="51" t="s">
        <v>1949</v>
      </c>
      <c r="L60" s="51" t="s">
        <v>1949</v>
      </c>
      <c r="M60" s="51" t="s">
        <v>1949</v>
      </c>
      <c r="N60" s="51" t="s">
        <v>1949</v>
      </c>
      <c r="O60" s="51" t="s">
        <v>1949</v>
      </c>
      <c r="P60" s="51" t="s">
        <v>1949</v>
      </c>
      <c r="Q60" s="51" t="s">
        <v>1949</v>
      </c>
      <c r="R60" s="51" t="s">
        <v>1949</v>
      </c>
      <c r="S60" s="51" t="s">
        <v>1949</v>
      </c>
      <c r="T60" s="51" t="s">
        <v>1949</v>
      </c>
      <c r="U60" s="51" t="s">
        <v>1949</v>
      </c>
      <c r="V60" s="51" t="s">
        <v>1949</v>
      </c>
      <c r="W60" s="51" t="s">
        <v>1949</v>
      </c>
      <c r="X60" s="51" t="s">
        <v>1949</v>
      </c>
      <c r="Y60" s="51" t="s">
        <v>1949</v>
      </c>
      <c r="Z60" s="51" t="s">
        <v>1949</v>
      </c>
      <c r="AA60" s="51" t="s">
        <v>1949</v>
      </c>
      <c r="AB60" s="53"/>
      <c r="AC60" s="54"/>
    </row>
    <row r="61">
      <c r="A61" s="50">
        <v>45991.0</v>
      </c>
      <c r="B61" s="51">
        <v>2718.0</v>
      </c>
      <c r="C61" s="51">
        <v>4.0</v>
      </c>
      <c r="D61" s="51">
        <v>0.147167035</v>
      </c>
      <c r="E61" s="51">
        <v>9.464311994</v>
      </c>
      <c r="F61" s="51">
        <v>514.25</v>
      </c>
      <c r="G61" s="51">
        <v>2057.0</v>
      </c>
      <c r="H61" s="51">
        <v>1.0</v>
      </c>
      <c r="I61" s="51">
        <v>2057.0</v>
      </c>
      <c r="J61" s="51">
        <v>9900.0</v>
      </c>
      <c r="K61" s="51">
        <v>25.0</v>
      </c>
      <c r="L61" s="51">
        <v>481.2834225</v>
      </c>
      <c r="M61" s="51">
        <v>1.0</v>
      </c>
      <c r="N61" s="51">
        <v>25.0</v>
      </c>
      <c r="O61" s="51">
        <v>9900.0</v>
      </c>
      <c r="P61" s="51">
        <v>2057.0</v>
      </c>
      <c r="Q61" s="51">
        <v>481.2834225</v>
      </c>
      <c r="R61" s="51" t="s">
        <v>1949</v>
      </c>
      <c r="S61" s="51" t="s">
        <v>1949</v>
      </c>
      <c r="T61" s="51" t="s">
        <v>1949</v>
      </c>
      <c r="U61" s="51" t="s">
        <v>1949</v>
      </c>
      <c r="V61" s="51" t="s">
        <v>1949</v>
      </c>
      <c r="W61" s="51">
        <v>1.0</v>
      </c>
      <c r="X61" s="51">
        <v>25.0</v>
      </c>
      <c r="Y61" s="51">
        <v>9900.0</v>
      </c>
      <c r="Z61" s="51">
        <v>2057.0</v>
      </c>
      <c r="AA61" s="51">
        <v>481.2834225</v>
      </c>
      <c r="AC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</row>
  </sheetData>
  <mergeCells count="49">
    <mergeCell ref="AA2:AB2"/>
    <mergeCell ref="AA3:AB3"/>
    <mergeCell ref="AA4:AB4"/>
    <mergeCell ref="AA5:AB5"/>
    <mergeCell ref="AA6:AB6"/>
    <mergeCell ref="AA7:AB7"/>
    <mergeCell ref="AA8:AB8"/>
    <mergeCell ref="AA9:AB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AA21:AB21"/>
    <mergeCell ref="AA22:AB22"/>
    <mergeCell ref="AA23:AB23"/>
    <mergeCell ref="AA24:AB24"/>
    <mergeCell ref="AA25:AB25"/>
    <mergeCell ref="AA26:AB26"/>
    <mergeCell ref="AA27:AB27"/>
    <mergeCell ref="AA28:AB28"/>
    <mergeCell ref="AA29:AB29"/>
    <mergeCell ref="AA30:AB30"/>
    <mergeCell ref="AA31:AB31"/>
    <mergeCell ref="AA32:AB32"/>
    <mergeCell ref="AA34:AB34"/>
    <mergeCell ref="AA35:AB35"/>
    <mergeCell ref="AA37:AB37"/>
    <mergeCell ref="AA38:AB38"/>
    <mergeCell ref="AA52:AB52"/>
    <mergeCell ref="AA53:AB53"/>
    <mergeCell ref="AA55:AB55"/>
    <mergeCell ref="AA57:AB57"/>
    <mergeCell ref="AA58:AB58"/>
    <mergeCell ref="AA59:AB59"/>
    <mergeCell ref="AA61:AB61"/>
    <mergeCell ref="AA40:AB40"/>
    <mergeCell ref="AA41:AB41"/>
    <mergeCell ref="AA42:AB42"/>
    <mergeCell ref="AA43:AB43"/>
    <mergeCell ref="AA44:AB44"/>
    <mergeCell ref="AA46:AB46"/>
    <mergeCell ref="AA48:AB48"/>
  </mergeCells>
  <drawing r:id="rId1"/>
</worksheet>
</file>